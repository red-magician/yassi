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はじめに" sheetId="1" state="visible" r:id="rId3"/>
    <sheet name="01_ルーブリック" sheetId="2" state="visible" r:id="rId4"/>
    <sheet name="02_審査員対応表" sheetId="3" state="visible" r:id="rId5"/>
    <sheet name="03_採点シート" sheetId="4" state="visible" r:id="rId6"/>
    <sheet name="04_判定ルールとフラグ" sheetId="5" state="visible" r:id="rId7"/>
    <sheet name="05_AI審査プロンプト" sheetId="6" state="visible" r:id="rId8"/>
    <sheet name="06_元データ_審査員コメント"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WenQuanYi Zen Hei"/>
            <family val="2"/>
          </rPr>
          <t xml:space="preserve">問い</t>
        </r>
        <r>
          <rPr>
            <sz val="10"/>
            <rFont val="Arial"/>
            <family val="2"/>
          </rPr>
          <t xml:space="preserve">: AI</t>
        </r>
        <r>
          <rPr>
            <sz val="10"/>
            <rFont val="WenQuanYi Zen Hei"/>
            <family val="2"/>
          </rPr>
          <t xml:space="preserve">を既存業務に足したのか、業務のかたち自体を作り直したのか。
</t>
        </r>
        <r>
          <rPr>
            <sz val="10"/>
            <rFont val="Arial"/>
            <family val="2"/>
          </rPr>
          <t xml:space="preserve">AI</t>
        </r>
        <r>
          <rPr>
            <sz val="10"/>
            <rFont val="WenQuanYi Zen Hei"/>
            <family val="2"/>
          </rPr>
          <t xml:space="preserve">を既存業務に付加したのではなく、業務の必要性を問い直し、廃止・統合・作り直しの判断まで踏み込めているか。「</t>
        </r>
        <r>
          <rPr>
            <sz val="10"/>
            <rFont val="Arial"/>
            <family val="2"/>
          </rPr>
          <t xml:space="preserve">AI</t>
        </r>
        <r>
          <rPr>
            <sz val="10"/>
            <rFont val="WenQuanYi Zen Hei"/>
            <family val="2"/>
          </rPr>
          <t xml:space="preserve">ありき」ではなく「業務の全体像を見たうえで必要な箇所に</t>
        </r>
        <r>
          <rPr>
            <sz val="10"/>
            <rFont val="Arial"/>
            <family val="2"/>
          </rPr>
          <t xml:space="preserve">AI</t>
        </r>
        <r>
          <rPr>
            <sz val="10"/>
            <rFont val="WenQuanYi Zen Hei"/>
            <family val="2"/>
          </rPr>
          <t xml:space="preserve">を置く」という思考の順序になっているかを見る。</t>
        </r>
      </text>
    </comment>
    <comment ref="A11" authorId="0">
      <text>
        <r>
          <rPr>
            <sz val="10"/>
            <rFont val="WenQuanYi Zen Hei"/>
            <family val="2"/>
          </rPr>
          <t xml:space="preserve">問い</t>
        </r>
        <r>
          <rPr>
            <sz val="10"/>
            <rFont val="Arial"/>
            <family val="2"/>
          </rPr>
          <t xml:space="preserve">: </t>
        </r>
        <r>
          <rPr>
            <sz val="10"/>
            <rFont val="WenQuanYi Zen Hei"/>
            <family val="2"/>
          </rPr>
          <t xml:space="preserve">部門の何割が、当たり前のこととして使っているか。主役は誰か。
優れたアイデア単体ではなく、部門全体の参加率と広がりを見る。「</t>
        </r>
        <r>
          <rPr>
            <sz val="10"/>
            <rFont val="Arial"/>
            <family val="2"/>
          </rPr>
          <t xml:space="preserve">AI</t>
        </r>
        <r>
          <rPr>
            <sz val="10"/>
            <rFont val="WenQuanYi Zen Hei"/>
            <family val="2"/>
          </rPr>
          <t xml:space="preserve">を使うのが当たり前だよね」と部員全員が自然に思える文化になっているか。実際に手を動かしている人、とりわけ若手や普段前に出る機会が少ないメンバーが主役を担えているか。</t>
        </r>
      </text>
    </comment>
    <comment ref="A18" authorId="0">
      <text>
        <r>
          <rPr>
            <sz val="10"/>
            <rFont val="WenQuanYi Zen Hei"/>
            <family val="2"/>
          </rPr>
          <t xml:space="preserve">問い</t>
        </r>
        <r>
          <rPr>
            <sz val="10"/>
            <rFont val="Arial"/>
            <family val="2"/>
          </rPr>
          <t xml:space="preserve">: </t>
        </r>
        <r>
          <rPr>
            <sz val="10"/>
            <rFont val="WenQuanYi Zen Hei"/>
            <family val="2"/>
          </rPr>
          <t xml:space="preserve">担当者が抜けても回るか。他部門が実際に再利用しているか。
個人の熱意に依存しているのか、組織として自律的に回っているのか。仕組み化のプロセスが明確に示されているか。つくったものが「会社のプロセス資産」として再利用されるサイクルになっているか、誰でも実行できる再現性があるかを見る。</t>
        </r>
      </text>
    </comment>
    <comment ref="A25" authorId="0">
      <text>
        <r>
          <rPr>
            <sz val="10"/>
            <rFont val="WenQuanYi Zen Hei"/>
            <family val="2"/>
          </rPr>
          <t xml:space="preserve">問い</t>
        </r>
        <r>
          <rPr>
            <sz val="10"/>
            <rFont val="Arial"/>
            <family val="2"/>
          </rPr>
          <t xml:space="preserve">: </t>
        </r>
        <r>
          <rPr>
            <sz val="10"/>
            <rFont val="WenQuanYi Zen Hei"/>
            <family val="2"/>
          </rPr>
          <t xml:space="preserve">自部門で閉じているか、面で会社を、さらに顧客を引き上げているか。
単なる部門最適ではなく、会社全体を「面」で引き上げる観点と具体的な取り組みがあるか。人の感覚に依存していた部門間連携を</t>
        </r>
        <r>
          <rPr>
            <sz val="10"/>
            <rFont val="Arial"/>
            <family val="2"/>
          </rPr>
          <t xml:space="preserve">AI</t>
        </r>
        <r>
          <rPr>
            <sz val="10"/>
            <rFont val="WenQuanYi Zen Hei"/>
            <family val="2"/>
          </rPr>
          <t xml:space="preserve">とデータで「当たり前」に成立させているか。データ基盤など経営視点での課題提起があるか。さらに、</t>
        </r>
        <r>
          <rPr>
            <sz val="10"/>
            <rFont val="Arial"/>
            <family val="2"/>
          </rPr>
          <t xml:space="preserve">IT</t>
        </r>
        <r>
          <rPr>
            <sz val="10"/>
            <rFont val="WenQuanYi Zen Hei"/>
            <family val="2"/>
          </rPr>
          <t xml:space="preserve">リテラシーや体制が十分でない顧客を一歩先のステージへ引き上げる伴走まで射程に入っているかを見る。</t>
        </r>
      </text>
    </comment>
    <comment ref="A32" authorId="0">
      <text>
        <r>
          <rPr>
            <sz val="10"/>
            <rFont val="WenQuanYi Zen Hei"/>
            <family val="2"/>
          </rPr>
          <t xml:space="preserve">問い</t>
        </r>
        <r>
          <rPr>
            <sz val="10"/>
            <rFont val="Arial"/>
            <family val="2"/>
          </rPr>
          <t xml:space="preserve">: </t>
        </r>
        <r>
          <rPr>
            <sz val="10"/>
            <rFont val="WenQuanYi Zen Hei"/>
            <family val="2"/>
          </rPr>
          <t xml:space="preserve">浮いた時間はどこへ行ったか。二段・三段先とつながっているか。
</t>
        </r>
        <r>
          <rPr>
            <sz val="10"/>
            <rFont val="Arial"/>
            <family val="2"/>
          </rPr>
          <t xml:space="preserve">AI</t>
        </r>
        <r>
          <rPr>
            <sz val="10"/>
            <rFont val="WenQuanYi Zen Hei"/>
            <family val="2"/>
          </rPr>
          <t xml:space="preserve">で創出した時間・リソースを何に使ったのかが前面に出ているか。効率化して終わりではなく、考える仕事、現場の把握、人と話す時間といった再投資先が語られているか。二段・三段先のゴールに向かって、いま手元のものを変えている構造で説明できているか。業務や事業がどれだけ変わったかというビジネスインパクトも併せて見る。</t>
        </r>
      </text>
    </comment>
    <comment ref="A39" authorId="0">
      <text>
        <r>
          <rPr>
            <sz val="10"/>
            <rFont val="WenQuanYi Zen Hei"/>
            <family val="2"/>
          </rPr>
          <t xml:space="preserve">問い</t>
        </r>
        <r>
          <rPr>
            <sz val="10"/>
            <rFont val="Arial"/>
            <family val="2"/>
          </rPr>
          <t xml:space="preserve">: </t>
        </r>
        <r>
          <rPr>
            <sz val="10"/>
            <rFont val="WenQuanYi Zen Hei"/>
            <family val="2"/>
          </rPr>
          <t xml:space="preserve">本人の言葉か。借り物の言葉か。聞き手が引き込まれるか。
取り組みを自分の言葉で語れる人が前に立っているか。成果の大小にかかわらず、「これは良かった」と自ら共有したくなる熱量があるか。自分なりの工夫を言語化し、周囲に伝播させられているか。聞き手が思わず引き込まれる面白さ・驚き・ワクワク感があるか。</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6" authorId="0">
      <text>
        <r>
          <rPr>
            <sz val="10"/>
            <rFont val="WenQuanYi Zen Hei"/>
            <family val="2"/>
          </rPr>
          <t xml:space="preserve">◎  業務の必要性を問い直す視点</t>
        </r>
      </text>
    </comment>
    <comment ref="D7" authorId="0">
      <text>
        <r>
          <rPr>
            <sz val="10"/>
            <rFont val="Arial"/>
            <family val="2"/>
          </rPr>
          <t xml:space="preserve">○  AI</t>
        </r>
        <r>
          <rPr>
            <sz val="10"/>
            <rFont val="WenQuanYi Zen Hei"/>
            <family val="2"/>
          </rPr>
          <t xml:space="preserve">ありきでなく、業務の全体像を見たうえで必要な箇所に組み込む思考の順序</t>
        </r>
      </text>
    </comment>
    <comment ref="D9" authorId="0">
      <text>
        <r>
          <rPr>
            <sz val="10"/>
            <rFont val="WenQuanYi Zen Hei"/>
            <family val="2"/>
          </rPr>
          <t xml:space="preserve">◎  既存業務を見直し、やめる判断ができているか。業務プロセス自体を見直せているか</t>
        </r>
      </text>
    </comment>
    <comment ref="D11" authorId="0">
      <text>
        <r>
          <rPr>
            <sz val="10"/>
            <rFont val="Arial"/>
            <family val="2"/>
          </rPr>
          <t xml:space="preserve">○  0</t>
        </r>
        <r>
          <rPr>
            <sz val="10"/>
            <rFont val="WenQuanYi Zen Hei"/>
            <family val="2"/>
          </rPr>
          <t xml:space="preserve">から</t>
        </r>
        <r>
          <rPr>
            <sz val="10"/>
            <rFont val="Arial"/>
            <family val="2"/>
          </rPr>
          <t xml:space="preserve">100</t>
        </r>
        <r>
          <rPr>
            <sz val="10"/>
            <rFont val="WenQuanYi Zen Hei"/>
            <family val="2"/>
          </rPr>
          <t xml:space="preserve">までの一連の流れを俯瞰し、個別最適ではなく全体最適で組み立てる</t>
        </r>
      </text>
    </comment>
    <comment ref="D12" authorId="0">
      <text>
        <r>
          <rPr>
            <sz val="10"/>
            <rFont val="WenQuanYi Zen Hei"/>
            <family val="2"/>
          </rPr>
          <t xml:space="preserve">○  フルスタックの姿勢で全体を見渡せているか。「使う側」に立てているか</t>
        </r>
      </text>
    </comment>
    <comment ref="D13" authorId="0">
      <text>
        <r>
          <rPr>
            <sz val="10"/>
            <rFont val="WenQuanYi Zen Hei"/>
            <family val="2"/>
          </rPr>
          <t xml:space="preserve">○  業務の延長で</t>
        </r>
        <r>
          <rPr>
            <sz val="10"/>
            <rFont val="Arial"/>
            <family val="2"/>
          </rPr>
          <t xml:space="preserve">AI</t>
        </r>
        <r>
          <rPr>
            <sz val="10"/>
            <rFont val="WenQuanYi Zen Hei"/>
            <family val="2"/>
          </rPr>
          <t xml:space="preserve">を使うのではなく、</t>
        </r>
        <r>
          <rPr>
            <sz val="10"/>
            <rFont val="Arial"/>
            <family val="2"/>
          </rPr>
          <t xml:space="preserve">AI</t>
        </r>
        <r>
          <rPr>
            <sz val="10"/>
            <rFont val="WenQuanYi Zen Hei"/>
            <family val="2"/>
          </rPr>
          <t xml:space="preserve">がいる前提で業務そのものを組み立て直す</t>
        </r>
      </text>
    </comment>
    <comment ref="E4" authorId="0">
      <text>
        <r>
          <rPr>
            <sz val="10"/>
            <rFont val="WenQuanYi Zen Hei"/>
            <family val="2"/>
          </rPr>
          <t xml:space="preserve">◎  実際に手を動かしている人、特に若手や普段前に出る機会が少ないメンバーが主役</t>
        </r>
      </text>
    </comment>
    <comment ref="E5" authorId="0">
      <text>
        <r>
          <rPr>
            <sz val="10"/>
            <rFont val="WenQuanYi Zen Hei"/>
            <family val="2"/>
          </rPr>
          <t xml:space="preserve">◎  「</t>
        </r>
        <r>
          <rPr>
            <sz val="10"/>
            <rFont val="Arial"/>
            <family val="2"/>
          </rPr>
          <t xml:space="preserve">AI</t>
        </r>
        <r>
          <rPr>
            <sz val="10"/>
            <rFont val="WenQuanYi Zen Hei"/>
            <family val="2"/>
          </rPr>
          <t xml:space="preserve">を使うのが当たり前だよね」と部員全員が自然に思える組織・文化の醸成</t>
        </r>
      </text>
    </comment>
    <comment ref="E8" authorId="0">
      <text>
        <r>
          <rPr>
            <sz val="10"/>
            <rFont val="WenQuanYi Zen Hei"/>
            <family val="2"/>
          </rPr>
          <t xml:space="preserve">◎  優れたアイデアよりも部門全体の参加率と広がり。チーム全員を巻き込む</t>
        </r>
      </text>
    </comment>
    <comment ref="E13" authorId="0">
      <text>
        <r>
          <rPr>
            <sz val="10"/>
            <rFont val="WenQuanYi Zen Hei"/>
            <family val="2"/>
          </rPr>
          <t xml:space="preserve">◎  部門全員が当たり前のように</t>
        </r>
        <r>
          <rPr>
            <sz val="10"/>
            <rFont val="Arial"/>
            <family val="2"/>
          </rPr>
          <t xml:space="preserve">AI</t>
        </r>
        <r>
          <rPr>
            <sz val="10"/>
            <rFont val="WenQuanYi Zen Hei"/>
            <family val="2"/>
          </rPr>
          <t xml:space="preserve">を使っている状態を実現できているか</t>
        </r>
      </text>
    </comment>
    <comment ref="E14" authorId="0">
      <text>
        <r>
          <rPr>
            <sz val="10"/>
            <rFont val="WenQuanYi Zen Hei"/>
            <family val="2"/>
          </rPr>
          <t xml:space="preserve">○  これまで評価されにくかった立場や役割のメンバーが新たな価値を発揮している</t>
        </r>
      </text>
    </comment>
    <comment ref="F6" authorId="0">
      <text>
        <r>
          <rPr>
            <sz val="10"/>
            <rFont val="WenQuanYi Zen Hei"/>
            <family val="2"/>
          </rPr>
          <t xml:space="preserve">○  誰でも実行できる再現性</t>
        </r>
      </text>
    </comment>
    <comment ref="F12" authorId="0">
      <text>
        <r>
          <rPr>
            <sz val="10"/>
            <rFont val="WenQuanYi Zen Hei"/>
            <family val="2"/>
          </rPr>
          <t xml:space="preserve">◎  部門でつくったものが「会社のプロセス資産」になり、再利用されるサイクルが形成されているか</t>
        </r>
      </text>
    </comment>
    <comment ref="F13" authorId="0">
      <text>
        <r>
          <rPr>
            <sz val="10"/>
            <rFont val="WenQuanYi Zen Hei"/>
            <family val="2"/>
          </rPr>
          <t xml:space="preserve">◎  個人の熱意依存か、組織として自律的に回っているか。仕組み化のプロセスを明確に示す</t>
        </r>
      </text>
    </comment>
    <comment ref="G6" authorId="0">
      <text>
        <r>
          <rPr>
            <sz val="10"/>
            <rFont val="WenQuanYi Zen Hei"/>
            <family val="2"/>
          </rPr>
          <t xml:space="preserve">◎  自部門に閉じず、他部門・全社への貢献と、データ基盤など経営視点での課題提起
○  社外・グローバルにも展開できる普遍性</t>
        </r>
      </text>
    </comment>
    <comment ref="G10" authorId="0">
      <text>
        <r>
          <rPr>
            <sz val="10"/>
            <rFont val="WenQuanYi Zen Hei"/>
            <family val="2"/>
          </rPr>
          <t xml:space="preserve">◎  人の感覚に依存していた部門間連携を、</t>
        </r>
        <r>
          <rPr>
            <sz val="10"/>
            <rFont val="Arial"/>
            <family val="2"/>
          </rPr>
          <t xml:space="preserve">AI</t>
        </r>
        <r>
          <rPr>
            <sz val="10"/>
            <rFont val="WenQuanYi Zen Hei"/>
            <family val="2"/>
          </rPr>
          <t xml:space="preserve">とデータで「当たり前」に成立させる</t>
        </r>
      </text>
    </comment>
    <comment ref="G11" authorId="0">
      <text>
        <r>
          <rPr>
            <sz val="10"/>
            <rFont val="WenQuanYi Zen Hei"/>
            <family val="2"/>
          </rPr>
          <t xml:space="preserve">◎  単なる部門最適ではなく、会社全体を「面」で引き上げる観点と具体的な取り組み</t>
        </r>
      </text>
    </comment>
    <comment ref="G14" authorId="0">
      <text>
        <r>
          <rPr>
            <sz val="10"/>
            <rFont val="WenQuanYi Zen Hei"/>
            <family val="2"/>
          </rPr>
          <t xml:space="preserve">◎  体制や</t>
        </r>
        <r>
          <rPr>
            <sz val="10"/>
            <rFont val="Arial"/>
            <family val="2"/>
          </rPr>
          <t xml:space="preserve">IT</t>
        </r>
        <r>
          <rPr>
            <sz val="10"/>
            <rFont val="WenQuanYi Zen Hei"/>
            <family val="2"/>
          </rPr>
          <t xml:space="preserve">リテラシーが十分でないお客さまを一歩先のステージへ引き上げ、伴走できるリーダー</t>
        </r>
      </text>
    </comment>
    <comment ref="G15" authorId="0">
      <text>
        <r>
          <rPr>
            <sz val="10"/>
            <rFont val="WenQuanYi Zen Hei"/>
            <family val="2"/>
          </rPr>
          <t xml:space="preserve">○  成果の大きさだけでなく、その効果の広がり</t>
        </r>
      </text>
    </comment>
    <comment ref="H6" authorId="0">
      <text>
        <r>
          <rPr>
            <sz val="10"/>
            <rFont val="WenQuanYi Zen Hei"/>
            <family val="2"/>
          </rPr>
          <t xml:space="preserve">○  業務や事業がどれだけ変わったかというビジネスインパクト</t>
        </r>
      </text>
    </comment>
    <comment ref="H7" authorId="0">
      <text>
        <r>
          <rPr>
            <sz val="10"/>
            <rFont val="Arial"/>
            <family val="2"/>
          </rPr>
          <t xml:space="preserve">◎  AI</t>
        </r>
        <r>
          <rPr>
            <sz val="10"/>
            <rFont val="WenQuanYi Zen Hei"/>
            <family val="2"/>
          </rPr>
          <t xml:space="preserve">で創出した時間を何に使ったのか。二段・三段先のゴールに向かって手元を変えている構造</t>
        </r>
      </text>
    </comment>
    <comment ref="H8" authorId="0">
      <text>
        <r>
          <rPr>
            <sz val="10"/>
            <rFont val="WenQuanYi Zen Hei"/>
            <family val="2"/>
          </rPr>
          <t xml:space="preserve">○  創出された時間を考える仕事へ。現場の把握や、人と話す時間を増やすことに使えているか</t>
        </r>
      </text>
    </comment>
    <comment ref="I4" authorId="0">
      <text>
        <r>
          <rPr>
            <sz val="10"/>
            <rFont val="WenQuanYi Zen Hei"/>
            <family val="2"/>
          </rPr>
          <t xml:space="preserve">◎  取り組みを自分の言葉で語れる人が前に立っているか
○  聞き手が思わず引き込まれる可能性、面白さ、ワクワク感、驚き</t>
        </r>
      </text>
    </comment>
    <comment ref="I5" authorId="0">
      <text>
        <r>
          <rPr>
            <sz val="10"/>
            <rFont val="WenQuanYi Zen Hei"/>
            <family val="2"/>
          </rPr>
          <t xml:space="preserve">○  自分なりの工夫を言語化できているか</t>
        </r>
      </text>
    </comment>
    <comment ref="I9" authorId="0">
      <text>
        <r>
          <rPr>
            <sz val="10"/>
            <rFont val="WenQuanYi Zen Hei"/>
            <family val="2"/>
          </rPr>
          <t xml:space="preserve">○  体験を言語化して、周囲に伝播させているレベルに到達しているか</t>
        </r>
      </text>
    </comment>
    <comment ref="I10" authorId="0">
      <text>
        <r>
          <rPr>
            <sz val="10"/>
            <rFont val="WenQuanYi Zen Hei"/>
            <family val="2"/>
          </rPr>
          <t xml:space="preserve">○  本人が楽しみながら新しいことに踏み出しているか</t>
        </r>
      </text>
    </comment>
    <comment ref="I15" authorId="0">
      <text>
        <r>
          <rPr>
            <sz val="10"/>
            <rFont val="WenQuanYi Zen Hei"/>
            <family val="2"/>
          </rPr>
          <t xml:space="preserve">◎  成果の大きさだけでなく、その熱量。両面を体現できているか
○  自分自身の言葉で価値を語れるか。自ら共有したくなる熱量</t>
        </r>
      </text>
    </comment>
  </commentList>
</comments>
</file>

<file path=xl/sharedStrings.xml><?xml version="1.0" encoding="utf-8"?>
<sst xmlns="http://schemas.openxmlformats.org/spreadsheetml/2006/main" count="574" uniqueCount="439">
  <si>
    <r>
      <rPr>
        <b val="true"/>
        <sz val="16"/>
        <color rgb="FFFFFFFF"/>
        <rFont val="Arial"/>
        <family val="0"/>
        <charset val="1"/>
      </rPr>
      <t xml:space="preserve">AIFES 2026 </t>
    </r>
    <r>
      <rPr>
        <b val="true"/>
        <sz val="16"/>
        <color rgb="FFFFFFFF"/>
        <rFont val="WenQuanYi Zen Hei"/>
        <family val="2"/>
      </rPr>
      <t xml:space="preserve">グランドフィナーレ </t>
    </r>
    <r>
      <rPr>
        <b val="true"/>
        <sz val="16"/>
        <color rgb="FFFFFFFF"/>
        <rFont val="Arial"/>
        <family val="0"/>
        <charset val="1"/>
      </rPr>
      <t xml:space="preserve">AI</t>
    </r>
    <r>
      <rPr>
        <b val="true"/>
        <sz val="16"/>
        <color rgb="FFFFFFFF"/>
        <rFont val="WenQuanYi Zen Hei"/>
        <family val="2"/>
      </rPr>
      <t xml:space="preserve">予備審査ルーブリック</t>
    </r>
  </si>
  <si>
    <t xml:space="preserve">目的</t>
  </si>
  <si>
    <r>
      <rPr>
        <sz val="10"/>
        <rFont val="WenQuanYi Zen Hei"/>
        <family val="2"/>
      </rPr>
      <t xml:space="preserve">グランドフィナーレの予備審査を、</t>
    </r>
    <r>
      <rPr>
        <sz val="10"/>
        <rFont val="Arial"/>
        <family val="0"/>
        <charset val="1"/>
      </rPr>
      <t xml:space="preserve">12</t>
    </r>
    <r>
      <rPr>
        <sz val="10"/>
        <rFont val="WenQuanYi Zen Hei"/>
        <family val="2"/>
      </rPr>
      <t xml:space="preserve">名の審査員それぞれに個別に依頼することなく</t>
    </r>
    <r>
      <rPr>
        <sz val="10"/>
        <rFont val="Arial"/>
        <family val="0"/>
        <charset val="1"/>
      </rPr>
      <t xml:space="preserve">AI</t>
    </r>
    <r>
      <rPr>
        <sz val="10"/>
        <rFont val="WenQuanYi Zen Hei"/>
        <family val="2"/>
      </rPr>
      <t xml:space="preserve">で一次実施するための共通ルーブリック。審査員</t>
    </r>
    <r>
      <rPr>
        <sz val="10"/>
        <rFont val="Arial"/>
        <family val="0"/>
        <charset val="1"/>
      </rPr>
      <t xml:space="preserve">12</t>
    </r>
    <r>
      <rPr>
        <sz val="10"/>
        <rFont val="WenQuanYi Zen Hei"/>
        <family val="2"/>
      </rPr>
      <t xml:space="preserve">名のコメントを</t>
    </r>
    <r>
      <rPr>
        <sz val="10"/>
        <rFont val="Arial"/>
        <family val="0"/>
        <charset val="1"/>
      </rPr>
      <t xml:space="preserve">6</t>
    </r>
    <r>
      <rPr>
        <sz val="10"/>
        <rFont val="WenQuanYi Zen Hei"/>
        <family val="2"/>
      </rPr>
      <t xml:space="preserve">観点に集約しており、</t>
    </r>
    <r>
      <rPr>
        <sz val="10"/>
        <rFont val="Arial"/>
        <family val="0"/>
        <charset val="1"/>
      </rPr>
      <t xml:space="preserve">1</t>
    </r>
    <r>
      <rPr>
        <sz val="10"/>
        <rFont val="WenQuanYi Zen Hei"/>
        <family val="2"/>
      </rPr>
      <t xml:space="preserve">回の採点で全員の観点が反映される。</t>
    </r>
  </si>
  <si>
    <t xml:space="preserve">元データ</t>
  </si>
  <si>
    <r>
      <rPr>
        <sz val="10"/>
        <rFont val="WenQuanYi Zen Hei"/>
        <family val="2"/>
      </rPr>
      <t xml:space="preserve">審査員コメント一覧（</t>
    </r>
    <r>
      <rPr>
        <sz val="10"/>
        <rFont val="Arial"/>
        <family val="0"/>
        <charset val="1"/>
      </rPr>
      <t xml:space="preserve">aifes-judges_skills_</t>
    </r>
    <r>
      <rPr>
        <sz val="10"/>
        <rFont val="WenQuanYi Zen Hei"/>
        <family val="2"/>
      </rPr>
      <t xml:space="preserve">提出物反映版</t>
    </r>
    <r>
      <rPr>
        <sz val="10"/>
        <rFont val="Arial"/>
        <family val="0"/>
        <charset val="1"/>
      </rPr>
      <t xml:space="preserve">.zip / AIFES</t>
    </r>
    <r>
      <rPr>
        <sz val="10"/>
        <rFont val="WenQuanYi Zen Hei"/>
        <family val="2"/>
      </rPr>
      <t xml:space="preserve">審査員インタビュー</t>
    </r>
    <r>
      <rPr>
        <sz val="10"/>
        <rFont val="Arial"/>
        <family val="0"/>
        <charset val="1"/>
      </rPr>
      <t xml:space="preserve">.docx</t>
    </r>
    <r>
      <rPr>
        <sz val="10"/>
        <rFont val="WenQuanYi Zen Hei"/>
        <family val="2"/>
      </rPr>
      <t xml:space="preserve">）（本ブックの </t>
    </r>
    <r>
      <rPr>
        <sz val="10"/>
        <rFont val="Arial"/>
        <family val="0"/>
        <charset val="1"/>
      </rPr>
      <t xml:space="preserve">06_</t>
    </r>
    <r>
      <rPr>
        <sz val="10"/>
        <rFont val="WenQuanYi Zen Hei"/>
        <family val="2"/>
      </rPr>
      <t xml:space="preserve">元データ</t>
    </r>
    <r>
      <rPr>
        <sz val="10"/>
        <rFont val="Arial"/>
        <family val="0"/>
        <charset val="1"/>
      </rPr>
      <t xml:space="preserve">_</t>
    </r>
    <r>
      <rPr>
        <sz val="10"/>
        <rFont val="WenQuanYi Zen Hei"/>
        <family val="2"/>
      </rPr>
      <t xml:space="preserve">審査員コメント シートに全文を収録）</t>
    </r>
  </si>
  <si>
    <t xml:space="preserve">集約方針</t>
  </si>
  <si>
    <r>
      <rPr>
        <sz val="10"/>
        <rFont val="WenQuanYi Zen Hei"/>
        <family val="2"/>
      </rPr>
      <t xml:space="preserve">「グランドフィナーレコメント」を主（◎）、「審査コメント（本人の言葉）」を従（○）として</t>
    </r>
    <r>
      <rPr>
        <sz val="10"/>
        <rFont val="Arial"/>
        <family val="0"/>
        <charset val="1"/>
      </rPr>
      <t xml:space="preserve">12</t>
    </r>
    <r>
      <rPr>
        <sz val="10"/>
        <rFont val="WenQuanYi Zen Hei"/>
        <family val="2"/>
      </rPr>
      <t xml:space="preserve">名分を</t>
    </r>
    <r>
      <rPr>
        <sz val="10"/>
        <rFont val="Arial"/>
        <family val="0"/>
        <charset val="1"/>
      </rPr>
      <t xml:space="preserve">6</t>
    </r>
    <r>
      <rPr>
        <sz val="10"/>
        <rFont val="WenQuanYi Zen Hei"/>
        <family val="2"/>
      </rPr>
      <t xml:space="preserve">観点に集約。配点は ◎</t>
    </r>
    <r>
      <rPr>
        <sz val="10"/>
        <rFont val="Arial"/>
        <family val="0"/>
        <charset val="1"/>
      </rPr>
      <t xml:space="preserve">=1.0</t>
    </r>
    <r>
      <rPr>
        <sz val="10"/>
        <rFont val="WenQuanYi Zen Hei"/>
        <family val="2"/>
      </rPr>
      <t xml:space="preserve">／○</t>
    </r>
    <r>
      <rPr>
        <sz val="10"/>
        <rFont val="Arial"/>
        <family val="0"/>
        <charset val="1"/>
      </rPr>
      <t xml:space="preserve">=0.5 </t>
    </r>
    <r>
      <rPr>
        <sz val="10"/>
        <rFont val="WenQuanYi Zen Hei"/>
        <family val="2"/>
      </rPr>
      <t xml:space="preserve">の言及重みから機械的に算出しており、恣意的な重み付けは行っていない。</t>
    </r>
  </si>
  <si>
    <t xml:space="preserve">配点の出し方</t>
  </si>
  <si>
    <r>
      <rPr>
        <sz val="10"/>
        <rFont val="WenQuanYi Zen Hei"/>
        <family val="2"/>
      </rPr>
      <t xml:space="preserve">各観点に紐づく審査員の言及を数え、グランドフィナーレコメント由来を</t>
    </r>
    <r>
      <rPr>
        <sz val="10"/>
        <rFont val="Arial"/>
        <family val="0"/>
        <charset val="1"/>
      </rPr>
      <t xml:space="preserve">1.0</t>
    </r>
    <r>
      <rPr>
        <sz val="10"/>
        <rFont val="WenQuanYi Zen Hei"/>
        <family val="2"/>
      </rPr>
      <t xml:space="preserve">、審査コメント由来を</t>
    </r>
    <r>
      <rPr>
        <sz val="10"/>
        <rFont val="Arial"/>
        <family val="0"/>
        <charset val="1"/>
      </rPr>
      <t xml:space="preserve">0.5</t>
    </r>
    <r>
      <rPr>
        <sz val="10"/>
        <rFont val="WenQuanYi Zen Hei"/>
        <family val="2"/>
      </rPr>
      <t xml:space="preserve">として合計し、</t>
    </r>
    <r>
      <rPr>
        <sz val="10"/>
        <rFont val="Arial"/>
        <family val="0"/>
        <charset val="1"/>
      </rPr>
      <t xml:space="preserve">100</t>
    </r>
    <r>
      <rPr>
        <sz val="10"/>
        <rFont val="WenQuanYi Zen Hei"/>
        <family val="2"/>
      </rPr>
      <t xml:space="preserve">点に正規化した。</t>
    </r>
    <r>
      <rPr>
        <sz val="10"/>
        <rFont val="Arial"/>
        <family val="0"/>
        <charset val="1"/>
      </rPr>
      <t xml:space="preserve">02_</t>
    </r>
    <r>
      <rPr>
        <sz val="10"/>
        <rFont val="WenQuanYi Zen Hei"/>
        <family val="2"/>
      </rPr>
      <t xml:space="preserve">審査員対応表 シートで、どの審査員のどの発言がどの観点の何点分になっているかを</t>
    </r>
    <r>
      <rPr>
        <sz val="10"/>
        <rFont val="Arial"/>
        <family val="0"/>
        <charset val="1"/>
      </rPr>
      <t xml:space="preserve">1</t>
    </r>
    <r>
      <rPr>
        <sz val="10"/>
        <rFont val="WenQuanYi Zen Hei"/>
        <family val="2"/>
      </rPr>
      <t xml:space="preserve">件ずつ追える。</t>
    </r>
  </si>
  <si>
    <t xml:space="preserve">採点の手順</t>
  </si>
  <si>
    <r>
      <rPr>
        <sz val="10"/>
        <rFont val="Arial"/>
        <family val="0"/>
        <charset val="1"/>
      </rPr>
      <t xml:space="preserve">① 03_</t>
    </r>
    <r>
      <rPr>
        <sz val="10"/>
        <rFont val="WenQuanYi Zen Hei"/>
        <family val="2"/>
      </rPr>
      <t xml:space="preserve">採点シート に応募部門を</t>
    </r>
    <r>
      <rPr>
        <sz val="10"/>
        <rFont val="Arial"/>
        <family val="0"/>
        <charset val="1"/>
      </rPr>
      <t xml:space="preserve">1</t>
    </r>
    <r>
      <rPr>
        <sz val="10"/>
        <rFont val="WenQuanYi Zen Hei"/>
        <family val="2"/>
      </rPr>
      <t xml:space="preserve">行ずつ並べる  →  ② 各観点を </t>
    </r>
    <r>
      <rPr>
        <sz val="10"/>
        <rFont val="Arial"/>
        <family val="0"/>
        <charset val="1"/>
      </rPr>
      <t xml:space="preserve">01_</t>
    </r>
    <r>
      <rPr>
        <sz val="10"/>
        <rFont val="WenQuanYi Zen Hei"/>
        <family val="2"/>
      </rPr>
      <t xml:space="preserve">ルーブリック のレベル記述に照らして </t>
    </r>
    <r>
      <rPr>
        <sz val="10"/>
        <rFont val="Arial"/>
        <family val="0"/>
        <charset val="1"/>
      </rPr>
      <t xml:space="preserve">1</t>
    </r>
    <r>
      <rPr>
        <sz val="10"/>
        <rFont val="WenQuanYi Zen Hei"/>
        <family val="2"/>
      </rPr>
      <t xml:space="preserve">〜</t>
    </r>
    <r>
      <rPr>
        <sz val="10"/>
        <rFont val="Arial"/>
        <family val="0"/>
        <charset val="1"/>
      </rPr>
      <t xml:space="preserve">5 </t>
    </r>
    <r>
      <rPr>
        <sz val="10"/>
        <rFont val="WenQuanYi Zen Hei"/>
        <family val="2"/>
      </rPr>
      <t xml:space="preserve">で入力  →  ③ 前提フラグ </t>
    </r>
    <r>
      <rPr>
        <sz val="10"/>
        <rFont val="Arial"/>
        <family val="0"/>
        <charset val="1"/>
      </rPr>
      <t xml:space="preserve">F1</t>
    </r>
    <r>
      <rPr>
        <sz val="10"/>
        <rFont val="WenQuanYi Zen Hei"/>
        <family val="2"/>
      </rPr>
      <t xml:space="preserve">〜</t>
    </r>
    <r>
      <rPr>
        <sz val="10"/>
        <rFont val="Arial"/>
        <family val="0"/>
        <charset val="1"/>
      </rPr>
      <t xml:space="preserve">F4 </t>
    </r>
    <r>
      <rPr>
        <sz val="10"/>
        <rFont val="WenQuanYi Zen Hei"/>
        <family val="2"/>
      </rPr>
      <t xml:space="preserve">に該当すれば ○ を入力（該当観点に自動で上限がかかる）  →  ④ 加重得点・総合点・判定・順位は自動計算。</t>
    </r>
  </si>
  <si>
    <r>
      <rPr>
        <b val="true"/>
        <sz val="12"/>
        <color rgb="FF1F3864"/>
        <rFont val="Arial"/>
        <family val="0"/>
        <charset val="1"/>
      </rPr>
      <t xml:space="preserve">AI</t>
    </r>
    <r>
      <rPr>
        <b val="true"/>
        <sz val="12"/>
        <color rgb="FF1F3864"/>
        <rFont val="WenQuanYi Zen Hei"/>
        <family val="2"/>
      </rPr>
      <t xml:space="preserve">で実施する場合</t>
    </r>
  </si>
  <si>
    <r>
      <rPr>
        <sz val="10"/>
        <rFont val="Arial"/>
        <family val="0"/>
        <charset val="1"/>
      </rPr>
      <t xml:space="preserve">05_AI</t>
    </r>
    <r>
      <rPr>
        <sz val="10"/>
        <rFont val="WenQuanYi Zen Hei"/>
        <family val="2"/>
      </rPr>
      <t xml:space="preserve">審査プロンプト シートの本文をそのまま</t>
    </r>
    <r>
      <rPr>
        <sz val="10"/>
        <rFont val="Arial"/>
        <family val="0"/>
        <charset val="1"/>
      </rPr>
      <t xml:space="preserve">AI</t>
    </r>
    <r>
      <rPr>
        <sz val="10"/>
        <rFont val="WenQuanYi Zen Hei"/>
        <family val="2"/>
      </rPr>
      <t xml:space="preserve">に渡し、応募資料を</t>
    </r>
    <r>
      <rPr>
        <sz val="10"/>
        <rFont val="Arial"/>
        <family val="0"/>
        <charset val="1"/>
      </rPr>
      <t xml:space="preserve">1</t>
    </r>
    <r>
      <rPr>
        <sz val="10"/>
        <rFont val="WenQuanYi Zen Hei"/>
        <family val="2"/>
      </rPr>
      <t xml:space="preserve">件ずつ入力する。</t>
    </r>
    <r>
      <rPr>
        <sz val="10"/>
        <rFont val="Arial"/>
        <family val="0"/>
        <charset val="1"/>
      </rPr>
      <t xml:space="preserve">JSON</t>
    </r>
    <r>
      <rPr>
        <sz val="10"/>
        <rFont val="WenQuanYi Zen Hei"/>
        <family val="2"/>
      </rPr>
      <t xml:space="preserve">で返させ、</t>
    </r>
    <r>
      <rPr>
        <sz val="10"/>
        <rFont val="Arial"/>
        <family val="0"/>
        <charset val="1"/>
      </rPr>
      <t xml:space="preserve">03_</t>
    </r>
    <r>
      <rPr>
        <sz val="10"/>
        <rFont val="WenQuanYi Zen Hei"/>
        <family val="2"/>
      </rPr>
      <t xml:space="preserve">採点シート に貼り付ける。</t>
    </r>
  </si>
  <si>
    <t xml:space="preserve">予備審査の位置づけ</t>
  </si>
  <si>
    <r>
      <rPr>
        <sz val="10"/>
        <rFont val="WenQuanYi Zen Hei"/>
        <family val="2"/>
      </rPr>
      <t xml:space="preserve">本ルーブリックは足切りと順位づけの一次スクリーニングに用いる。最終決定は審査員による人手審査で行う。判定 </t>
    </r>
    <r>
      <rPr>
        <sz val="10"/>
        <rFont val="Arial"/>
        <family val="0"/>
        <charset val="1"/>
      </rPr>
      <t xml:space="preserve">S</t>
    </r>
    <r>
      <rPr>
        <sz val="10"/>
        <rFont val="WenQuanYi Zen Hei"/>
        <family val="2"/>
      </rPr>
      <t xml:space="preserve">・</t>
    </r>
    <r>
      <rPr>
        <sz val="10"/>
        <rFont val="Arial"/>
        <family val="0"/>
        <charset val="1"/>
      </rPr>
      <t xml:space="preserve">A </t>
    </r>
    <r>
      <rPr>
        <sz val="10"/>
        <rFont val="WenQuanYi Zen Hei"/>
        <family val="2"/>
      </rPr>
      <t xml:space="preserve">は人手審査へ自動送付、</t>
    </r>
    <r>
      <rPr>
        <sz val="10"/>
        <rFont val="Arial"/>
        <family val="0"/>
        <charset val="1"/>
      </rPr>
      <t xml:space="preserve">B </t>
    </r>
    <r>
      <rPr>
        <sz val="10"/>
        <rFont val="WenQuanYi Zen Hei"/>
        <family val="2"/>
      </rPr>
      <t xml:space="preserve">は事務局が拾い上げを検討、</t>
    </r>
    <r>
      <rPr>
        <sz val="10"/>
        <rFont val="Arial"/>
        <family val="0"/>
        <charset val="1"/>
      </rPr>
      <t xml:space="preserve">C </t>
    </r>
    <r>
      <rPr>
        <sz val="10"/>
        <rFont val="WenQuanYi Zen Hei"/>
        <family val="2"/>
      </rPr>
      <t xml:space="preserve">は見送りを基本とする。</t>
    </r>
  </si>
  <si>
    <t xml:space="preserve">注意</t>
  </si>
  <si>
    <r>
      <rPr>
        <sz val="10"/>
        <rFont val="WenQuanYi Zen Hei"/>
        <family val="2"/>
      </rPr>
      <t xml:space="preserve">審査員本人の発言を観点に集約する過程で、個別の言い回しは要約されている。判断に迷う応募は、</t>
    </r>
    <r>
      <rPr>
        <sz val="10"/>
        <rFont val="Arial"/>
        <family val="0"/>
        <charset val="1"/>
      </rPr>
      <t xml:space="preserve">02_</t>
    </r>
    <r>
      <rPr>
        <sz val="10"/>
        <rFont val="WenQuanYi Zen Hei"/>
        <family val="2"/>
      </rPr>
      <t xml:space="preserve">審査員対応表 から該当審査員の原文に戻って確認すること。</t>
    </r>
  </si>
  <si>
    <t xml:space="preserve">観点と配点</t>
  </si>
  <si>
    <t xml:space="preserve">観点</t>
  </si>
  <si>
    <r>
      <rPr>
        <b val="true"/>
        <sz val="10"/>
        <color rgb="FFFFFFFF"/>
        <rFont val="WenQuanYi Zen Hei"/>
        <family val="2"/>
      </rPr>
      <t xml:space="preserve">配点（</t>
    </r>
    <r>
      <rPr>
        <b val="true"/>
        <sz val="10"/>
        <color rgb="FFFFFFFF"/>
        <rFont val="Arial"/>
        <family val="0"/>
        <charset val="1"/>
      </rPr>
      <t xml:space="preserve">100</t>
    </r>
    <r>
      <rPr>
        <b val="true"/>
        <sz val="10"/>
        <color rgb="FFFFFFFF"/>
        <rFont val="WenQuanYi Zen Hei"/>
        <family val="2"/>
      </rPr>
      <t xml:space="preserve">点満点） — 内訳は </t>
    </r>
    <r>
      <rPr>
        <b val="true"/>
        <sz val="10"/>
        <color rgb="FFFFFFFF"/>
        <rFont val="Arial"/>
        <family val="0"/>
        <charset val="1"/>
      </rPr>
      <t xml:space="preserve">01_</t>
    </r>
    <r>
      <rPr>
        <b val="true"/>
        <sz val="10"/>
        <color rgb="FFFFFFFF"/>
        <rFont val="WenQuanYi Zen Hei"/>
        <family val="2"/>
      </rPr>
      <t xml:space="preserve">ルーブリック 参照</t>
    </r>
  </si>
  <si>
    <r>
      <rPr>
        <b val="true"/>
        <sz val="10"/>
        <rFont val="Arial"/>
        <family val="0"/>
        <charset val="1"/>
      </rPr>
      <t xml:space="preserve">C1  </t>
    </r>
    <r>
      <rPr>
        <b val="true"/>
        <sz val="10"/>
        <rFont val="WenQuanYi Zen Hei"/>
        <family val="2"/>
      </rPr>
      <t xml:space="preserve">業務そのものの再設計と「やめる」判断</t>
    </r>
  </si>
  <si>
    <r>
      <rPr>
        <sz val="10"/>
        <rFont val="Arial"/>
        <family val="0"/>
        <charset val="1"/>
      </rPr>
      <t xml:space="preserve">18 </t>
    </r>
    <r>
      <rPr>
        <sz val="10"/>
        <rFont val="WenQuanYi Zen Hei"/>
        <family val="2"/>
      </rPr>
      <t xml:space="preserve">点　（言及重み </t>
    </r>
    <r>
      <rPr>
        <sz val="10"/>
        <rFont val="Arial"/>
        <family val="0"/>
        <charset val="1"/>
      </rPr>
      <t xml:space="preserve">4.0 / 22.5 </t>
    </r>
    <r>
      <rPr>
        <sz val="10"/>
        <rFont val="WenQuanYi Zen Hei"/>
        <family val="2"/>
      </rPr>
      <t xml:space="preserve">＝ </t>
    </r>
    <r>
      <rPr>
        <sz val="10"/>
        <rFont val="Arial"/>
        <family val="0"/>
        <charset val="1"/>
      </rPr>
      <t xml:space="preserve">17.8%</t>
    </r>
    <r>
      <rPr>
        <sz val="10"/>
        <rFont val="WenQuanYi Zen Hei"/>
        <family val="2"/>
      </rPr>
      <t xml:space="preserve">）　主な出所：</t>
    </r>
    <r>
      <rPr>
        <sz val="10"/>
        <rFont val="Arial"/>
        <family val="0"/>
        <charset val="1"/>
      </rPr>
      <t xml:space="preserve">AI</t>
    </r>
    <r>
      <rPr>
        <sz val="10"/>
        <rFont val="WenQuanYi Zen Hei"/>
        <family val="2"/>
      </rPr>
      <t xml:space="preserve">を既存業務に足したのか、業務のかたち自体を作り直したのか。</t>
    </r>
  </si>
  <si>
    <r>
      <rPr>
        <b val="true"/>
        <sz val="10"/>
        <rFont val="Arial"/>
        <family val="0"/>
        <charset val="1"/>
      </rPr>
      <t xml:space="preserve">C2  </t>
    </r>
    <r>
      <rPr>
        <b val="true"/>
        <sz val="10"/>
        <rFont val="WenQuanYi Zen Hei"/>
        <family val="2"/>
      </rPr>
      <t xml:space="preserve">組織への浸透と参加の広がり</t>
    </r>
  </si>
  <si>
    <r>
      <rPr>
        <sz val="10"/>
        <rFont val="Arial"/>
        <family val="0"/>
        <charset val="1"/>
      </rPr>
      <t xml:space="preserve">20 </t>
    </r>
    <r>
      <rPr>
        <sz val="10"/>
        <rFont val="WenQuanYi Zen Hei"/>
        <family val="2"/>
      </rPr>
      <t xml:space="preserve">点　（言及重み </t>
    </r>
    <r>
      <rPr>
        <sz val="10"/>
        <rFont val="Arial"/>
        <family val="0"/>
        <charset val="1"/>
      </rPr>
      <t xml:space="preserve">4.5 / 22.5 </t>
    </r>
    <r>
      <rPr>
        <sz val="10"/>
        <rFont val="WenQuanYi Zen Hei"/>
        <family val="2"/>
      </rPr>
      <t xml:space="preserve">＝ </t>
    </r>
    <r>
      <rPr>
        <sz val="10"/>
        <rFont val="Arial"/>
        <family val="0"/>
        <charset val="1"/>
      </rPr>
      <t xml:space="preserve">20.0%</t>
    </r>
    <r>
      <rPr>
        <sz val="10"/>
        <rFont val="WenQuanYi Zen Hei"/>
        <family val="2"/>
      </rPr>
      <t xml:space="preserve">）　主な出所：部門の何割が、当たり前のこととして使っているか。主役は誰か。</t>
    </r>
  </si>
  <si>
    <r>
      <rPr>
        <b val="true"/>
        <sz val="10"/>
        <rFont val="Arial"/>
        <family val="0"/>
        <charset val="1"/>
      </rPr>
      <t xml:space="preserve">C3  </t>
    </r>
    <r>
      <rPr>
        <b val="true"/>
        <sz val="10"/>
        <rFont val="WenQuanYi Zen Hei"/>
        <family val="2"/>
      </rPr>
      <t xml:space="preserve">仕組み化と会社のプロセス資産化</t>
    </r>
  </si>
  <si>
    <r>
      <rPr>
        <sz val="10"/>
        <rFont val="Arial"/>
        <family val="0"/>
        <charset val="1"/>
      </rPr>
      <t xml:space="preserve">11 </t>
    </r>
    <r>
      <rPr>
        <sz val="10"/>
        <rFont val="WenQuanYi Zen Hei"/>
        <family val="2"/>
      </rPr>
      <t xml:space="preserve">点　（言及重み </t>
    </r>
    <r>
      <rPr>
        <sz val="10"/>
        <rFont val="Arial"/>
        <family val="0"/>
        <charset val="1"/>
      </rPr>
      <t xml:space="preserve">2.5 / 22.5 </t>
    </r>
    <r>
      <rPr>
        <sz val="10"/>
        <rFont val="WenQuanYi Zen Hei"/>
        <family val="2"/>
      </rPr>
      <t xml:space="preserve">＝ </t>
    </r>
    <r>
      <rPr>
        <sz val="10"/>
        <rFont val="Arial"/>
        <family val="0"/>
        <charset val="1"/>
      </rPr>
      <t xml:space="preserve">11.1%</t>
    </r>
    <r>
      <rPr>
        <sz val="10"/>
        <rFont val="WenQuanYi Zen Hei"/>
        <family val="2"/>
      </rPr>
      <t xml:space="preserve">）　主な出所：担当者が抜けても回るか。他部門が実際に再利用しているか。</t>
    </r>
  </si>
  <si>
    <r>
      <rPr>
        <b val="true"/>
        <sz val="10"/>
        <rFont val="Arial"/>
        <family val="0"/>
        <charset val="1"/>
      </rPr>
      <t xml:space="preserve">C4  </t>
    </r>
    <r>
      <rPr>
        <b val="true"/>
        <sz val="10"/>
        <rFont val="WenQuanYi Zen Hei"/>
        <family val="2"/>
      </rPr>
      <t xml:space="preserve">波及範囲と経営視座</t>
    </r>
  </si>
  <si>
    <r>
      <rPr>
        <sz val="10"/>
        <rFont val="Arial"/>
        <family val="0"/>
        <charset val="1"/>
      </rPr>
      <t xml:space="preserve">22 </t>
    </r>
    <r>
      <rPr>
        <sz val="10"/>
        <rFont val="WenQuanYi Zen Hei"/>
        <family val="2"/>
      </rPr>
      <t xml:space="preserve">点　（言及重み </t>
    </r>
    <r>
      <rPr>
        <sz val="10"/>
        <rFont val="Arial"/>
        <family val="0"/>
        <charset val="1"/>
      </rPr>
      <t xml:space="preserve">5.0 / 22.5 </t>
    </r>
    <r>
      <rPr>
        <sz val="10"/>
        <rFont val="WenQuanYi Zen Hei"/>
        <family val="2"/>
      </rPr>
      <t xml:space="preserve">＝ </t>
    </r>
    <r>
      <rPr>
        <sz val="10"/>
        <rFont val="Arial"/>
        <family val="0"/>
        <charset val="1"/>
      </rPr>
      <t xml:space="preserve">22.2%</t>
    </r>
    <r>
      <rPr>
        <sz val="10"/>
        <rFont val="WenQuanYi Zen Hei"/>
        <family val="2"/>
      </rPr>
      <t xml:space="preserve">）　主な出所：自部門で閉じているか、面で会社を、さらに顧客を引き上げているか。</t>
    </r>
  </si>
  <si>
    <r>
      <rPr>
        <b val="true"/>
        <sz val="10"/>
        <rFont val="Arial"/>
        <family val="0"/>
        <charset val="1"/>
      </rPr>
      <t xml:space="preserve">C5  </t>
    </r>
    <r>
      <rPr>
        <b val="true"/>
        <sz val="10"/>
        <rFont val="WenQuanYi Zen Hei"/>
        <family val="2"/>
      </rPr>
      <t xml:space="preserve">創出した価値と、その再投資先</t>
    </r>
  </si>
  <si>
    <r>
      <rPr>
        <sz val="10"/>
        <rFont val="Arial"/>
        <family val="0"/>
        <charset val="1"/>
      </rPr>
      <t xml:space="preserve">9 </t>
    </r>
    <r>
      <rPr>
        <sz val="10"/>
        <rFont val="WenQuanYi Zen Hei"/>
        <family val="2"/>
      </rPr>
      <t xml:space="preserve">点　（言及重み </t>
    </r>
    <r>
      <rPr>
        <sz val="10"/>
        <rFont val="Arial"/>
        <family val="0"/>
        <charset val="1"/>
      </rPr>
      <t xml:space="preserve">2.0 / 22.5 </t>
    </r>
    <r>
      <rPr>
        <sz val="10"/>
        <rFont val="WenQuanYi Zen Hei"/>
        <family val="2"/>
      </rPr>
      <t xml:space="preserve">＝ </t>
    </r>
    <r>
      <rPr>
        <sz val="10"/>
        <rFont val="Arial"/>
        <family val="0"/>
        <charset val="1"/>
      </rPr>
      <t xml:space="preserve">8.9%</t>
    </r>
    <r>
      <rPr>
        <sz val="10"/>
        <rFont val="WenQuanYi Zen Hei"/>
        <family val="2"/>
      </rPr>
      <t xml:space="preserve">）　主な出所：浮いた時間はどこへ行ったか。二段・三段先とつながっているか。</t>
    </r>
  </si>
  <si>
    <r>
      <rPr>
        <b val="true"/>
        <sz val="10"/>
        <rFont val="Arial"/>
        <family val="0"/>
        <charset val="1"/>
      </rPr>
      <t xml:space="preserve">C6  </t>
    </r>
    <r>
      <rPr>
        <b val="true"/>
        <sz val="10"/>
        <rFont val="WenQuanYi Zen Hei"/>
        <family val="2"/>
      </rPr>
      <t xml:space="preserve">語りの当事者性と熱量</t>
    </r>
  </si>
  <si>
    <r>
      <rPr>
        <sz val="10"/>
        <rFont val="Arial"/>
        <family val="0"/>
        <charset val="1"/>
      </rPr>
      <t xml:space="preserve">20 </t>
    </r>
    <r>
      <rPr>
        <sz val="10"/>
        <rFont val="WenQuanYi Zen Hei"/>
        <family val="2"/>
      </rPr>
      <t xml:space="preserve">点　（言及重み </t>
    </r>
    <r>
      <rPr>
        <sz val="10"/>
        <rFont val="Arial"/>
        <family val="0"/>
        <charset val="1"/>
      </rPr>
      <t xml:space="preserve">4.5 / 22.5 </t>
    </r>
    <r>
      <rPr>
        <sz val="10"/>
        <rFont val="WenQuanYi Zen Hei"/>
        <family val="2"/>
      </rPr>
      <t xml:space="preserve">＝ </t>
    </r>
    <r>
      <rPr>
        <sz val="10"/>
        <rFont val="Arial"/>
        <family val="0"/>
        <charset val="1"/>
      </rPr>
      <t xml:space="preserve">20.0%</t>
    </r>
    <r>
      <rPr>
        <sz val="10"/>
        <rFont val="WenQuanYi Zen Hei"/>
        <family val="2"/>
      </rPr>
      <t xml:space="preserve">）　主な出所：本人の言葉か。借り物の言葉か。聞き手が引き込まれるか。</t>
    </r>
  </si>
  <si>
    <t xml:space="preserve">合計</t>
  </si>
  <si>
    <r>
      <rPr>
        <b val="true"/>
        <sz val="10"/>
        <rFont val="Arial"/>
        <family val="0"/>
        <charset val="1"/>
      </rPr>
      <t xml:space="preserve">100 </t>
    </r>
    <r>
      <rPr>
        <b val="true"/>
        <sz val="10"/>
        <rFont val="WenQuanYi Zen Hei"/>
        <family val="2"/>
      </rPr>
      <t xml:space="preserve">点</t>
    </r>
  </si>
  <si>
    <r>
      <rPr>
        <b val="true"/>
        <sz val="16"/>
        <color rgb="FFFFFFFF"/>
        <rFont val="Arial"/>
        <family val="0"/>
        <charset val="1"/>
      </rPr>
      <t xml:space="preserve">6</t>
    </r>
    <r>
      <rPr>
        <b val="true"/>
        <sz val="16"/>
        <color rgb="FFFFFFFF"/>
        <rFont val="WenQuanYi Zen Hei"/>
        <family val="2"/>
      </rPr>
      <t xml:space="preserve">観点 </t>
    </r>
    <r>
      <rPr>
        <b val="true"/>
        <sz val="16"/>
        <color rgb="FFFFFFFF"/>
        <rFont val="Arial"/>
        <family val="0"/>
        <charset val="1"/>
      </rPr>
      <t xml:space="preserve">× 5</t>
    </r>
    <r>
      <rPr>
        <b val="true"/>
        <sz val="16"/>
        <color rgb="FFFFFFFF"/>
        <rFont val="WenQuanYi Zen Hei"/>
        <family val="2"/>
      </rPr>
      <t xml:space="preserve">段階 評価基準</t>
    </r>
  </si>
  <si>
    <r>
      <rPr>
        <sz val="9"/>
        <color rgb="FF595959"/>
        <rFont val="WenQuanYi Zen Hei"/>
        <family val="2"/>
      </rPr>
      <t xml:space="preserve">レベルは </t>
    </r>
    <r>
      <rPr>
        <sz val="9"/>
        <color rgb="FF595959"/>
        <rFont val="Arial"/>
        <family val="0"/>
        <charset val="1"/>
      </rPr>
      <t xml:space="preserve">5</t>
    </r>
    <r>
      <rPr>
        <sz val="9"/>
        <color rgb="FF595959"/>
        <rFont val="WenQuanYi Zen Hei"/>
        <family val="2"/>
      </rPr>
      <t xml:space="preserve">＝満点相当、</t>
    </r>
    <r>
      <rPr>
        <sz val="9"/>
        <color rgb="FF595959"/>
        <rFont val="Arial"/>
        <family val="0"/>
        <charset val="1"/>
      </rPr>
      <t xml:space="preserve">1</t>
    </r>
    <r>
      <rPr>
        <sz val="9"/>
        <color rgb="FF595959"/>
        <rFont val="WenQuanYi Zen Hei"/>
        <family val="2"/>
      </rPr>
      <t xml:space="preserve">＝最低。加重得点 ＝ レベル </t>
    </r>
    <r>
      <rPr>
        <sz val="9"/>
        <color rgb="FF595959"/>
        <rFont val="Arial"/>
        <family val="0"/>
        <charset val="1"/>
      </rPr>
      <t xml:space="preserve">÷ 5 × </t>
    </r>
    <r>
      <rPr>
        <sz val="9"/>
        <color rgb="FF595959"/>
        <rFont val="WenQuanYi Zen Hei"/>
        <family val="2"/>
      </rPr>
      <t xml:space="preserve">配点。各観点の根拠となった審査員は右端を参照（◎＝グランドフィナーレコメント由来、○＝審査コメント由来）。</t>
    </r>
  </si>
  <si>
    <r>
      <rPr>
        <b val="true"/>
        <sz val="10"/>
        <color rgb="FFFFFFFF"/>
        <rFont val="WenQuanYi Zen Hei"/>
        <family val="2"/>
      </rPr>
      <t xml:space="preserve">観点</t>
    </r>
    <r>
      <rPr>
        <b val="true"/>
        <sz val="10"/>
        <color rgb="FFFFFFFF"/>
        <rFont val="Arial"/>
        <family val="0"/>
        <charset val="1"/>
      </rPr>
      <t xml:space="preserve">ID</t>
    </r>
  </si>
  <si>
    <t xml:space="preserve">観点名</t>
  </si>
  <si>
    <t xml:space="preserve">配点</t>
  </si>
  <si>
    <t xml:space="preserve">レベル</t>
  </si>
  <si>
    <t xml:space="preserve">レベルの記述（この状態なら該当）</t>
  </si>
  <si>
    <t xml:space="preserve">この観点の根拠となった審査員</t>
  </si>
  <si>
    <t xml:space="preserve">C1</t>
  </si>
  <si>
    <t xml:space="preserve">業務そのものの再設計と「やめる」判断</t>
  </si>
  <si>
    <r>
      <rPr>
        <sz val="10"/>
        <rFont val="WenQuanYi Zen Hei"/>
        <family val="2"/>
      </rPr>
      <t xml:space="preserve">「これはもうやらなくていい」と廃止・縮小した業務を具体名で挙げられ、</t>
    </r>
    <r>
      <rPr>
        <sz val="10"/>
        <rFont val="Arial"/>
        <family val="0"/>
        <charset val="1"/>
      </rPr>
      <t xml:space="preserve">AFTER</t>
    </r>
    <r>
      <rPr>
        <sz val="10"/>
        <rFont val="WenQuanYi Zen Hei"/>
        <family val="2"/>
      </rPr>
      <t xml:space="preserve">の業務フロー全体が再設計されている。</t>
    </r>
    <r>
      <rPr>
        <sz val="10"/>
        <rFont val="Arial"/>
        <family val="0"/>
        <charset val="1"/>
      </rPr>
      <t xml:space="preserve">AI</t>
    </r>
    <r>
      <rPr>
        <sz val="10"/>
        <rFont val="WenQuanYi Zen Hei"/>
        <family val="2"/>
      </rPr>
      <t xml:space="preserve">は再設計の結果として配置されており、順序が明確に「業務 → </t>
    </r>
    <r>
      <rPr>
        <sz val="10"/>
        <rFont val="Arial"/>
        <family val="0"/>
        <charset val="1"/>
      </rPr>
      <t xml:space="preserve">AI</t>
    </r>
    <r>
      <rPr>
        <sz val="10"/>
        <rFont val="WenQuanYi Zen Hei"/>
        <family val="2"/>
      </rPr>
      <t xml:space="preserve">」になっている。</t>
    </r>
  </si>
  <si>
    <r>
      <rPr>
        <sz val="8"/>
        <rFont val="WenQuanYi Zen Hei"/>
        <family val="2"/>
      </rPr>
      <t xml:space="preserve">◎ 前田 憲仁（執行役員）
　　既存業務を見直し、やめる判断ができているか。業務プロセス自体を見直せているか
◎ 中村 智之（執行役員）
　　業務の必要性を問い直す視点
○ 伊藤 英啓（執行役員）
　　</t>
    </r>
    <r>
      <rPr>
        <sz val="8"/>
        <rFont val="Arial"/>
        <family val="0"/>
        <charset val="1"/>
      </rPr>
      <t xml:space="preserve">AI</t>
    </r>
    <r>
      <rPr>
        <sz val="8"/>
        <rFont val="WenQuanYi Zen Hei"/>
        <family val="2"/>
      </rPr>
      <t xml:space="preserve">ありきでなく、業務の全体像を見たうえで必要な箇所に組み込む思考の順序
○ 安田 博一（常務執行役員）
　　</t>
    </r>
    <r>
      <rPr>
        <sz val="8"/>
        <rFont val="Arial"/>
        <family val="0"/>
        <charset val="1"/>
      </rPr>
      <t xml:space="preserve">0</t>
    </r>
    <r>
      <rPr>
        <sz val="8"/>
        <rFont val="WenQuanYi Zen Hei"/>
        <family val="2"/>
      </rPr>
      <t xml:space="preserve">から</t>
    </r>
    <r>
      <rPr>
        <sz val="8"/>
        <rFont val="Arial"/>
        <family val="0"/>
        <charset val="1"/>
      </rPr>
      <t xml:space="preserve">100</t>
    </r>
    <r>
      <rPr>
        <sz val="8"/>
        <rFont val="WenQuanYi Zen Hei"/>
        <family val="2"/>
      </rPr>
      <t xml:space="preserve">までの一連の流れを俯瞰し、個別最適ではなく全体最適で組み立てる
○ 小杉 智（執行役員 </t>
    </r>
    <r>
      <rPr>
        <sz val="8"/>
        <rFont val="Arial"/>
        <family val="0"/>
        <charset val="1"/>
      </rPr>
      <t xml:space="preserve">/ </t>
    </r>
    <r>
      <rPr>
        <sz val="8"/>
        <rFont val="WenQuanYi Zen Hei"/>
        <family val="2"/>
      </rPr>
      <t xml:space="preserve">ネクストスケープ 代表取締役社長）
　　フルスタックの姿勢で全体を見渡せているか。「使う側」に立てているか
○ 松尾 邦孝（</t>
    </r>
    <r>
      <rPr>
        <sz val="8"/>
        <rFont val="Arial"/>
        <family val="0"/>
        <charset val="1"/>
      </rPr>
      <t xml:space="preserve">AI</t>
    </r>
    <r>
      <rPr>
        <sz val="8"/>
        <rFont val="WenQuanYi Zen Hei"/>
        <family val="2"/>
      </rPr>
      <t xml:space="preserve">トランスフォーメーション事業本部長）
　　業務の延長で</t>
    </r>
    <r>
      <rPr>
        <sz val="8"/>
        <rFont val="Arial"/>
        <family val="0"/>
        <charset val="1"/>
      </rPr>
      <t xml:space="preserve">AI</t>
    </r>
    <r>
      <rPr>
        <sz val="8"/>
        <rFont val="WenQuanYi Zen Hei"/>
        <family val="2"/>
      </rPr>
      <t xml:space="preserve">を使うのではなく、</t>
    </r>
    <r>
      <rPr>
        <sz val="8"/>
        <rFont val="Arial"/>
        <family val="0"/>
        <charset val="1"/>
      </rPr>
      <t xml:space="preserve">AI</t>
    </r>
    <r>
      <rPr>
        <sz val="8"/>
        <rFont val="WenQuanYi Zen Hei"/>
        <family val="2"/>
      </rPr>
      <t xml:space="preserve">がいる前提で業務そのものを組み立て直す</t>
    </r>
  </si>
  <si>
    <t xml:space="preserve">業務プロセスの一部を作り直し、廃止・統合した工程が具体的にある。ただし業務フロー全体の再設計までは至っていない。</t>
  </si>
  <si>
    <r>
      <rPr>
        <sz val="10"/>
        <rFont val="WenQuanYi Zen Hei"/>
        <family val="2"/>
      </rPr>
      <t xml:space="preserve">既存業務の必要性を問い直した形跡はあるが、実行は既存フローへの</t>
    </r>
    <r>
      <rPr>
        <sz val="10"/>
        <rFont val="Arial"/>
        <family val="0"/>
        <charset val="1"/>
      </rPr>
      <t xml:space="preserve">AI</t>
    </r>
    <r>
      <rPr>
        <sz val="10"/>
        <rFont val="WenQuanYi Zen Hei"/>
        <family val="2"/>
      </rPr>
      <t xml:space="preserve">組み込みにとどまっている。</t>
    </r>
  </si>
  <si>
    <r>
      <rPr>
        <sz val="10"/>
        <rFont val="WenQuanYi Zen Hei"/>
        <family val="2"/>
      </rPr>
      <t xml:space="preserve">既存業務のかたちは変えず、部分的に</t>
    </r>
    <r>
      <rPr>
        <sz val="10"/>
        <rFont val="Arial"/>
        <family val="0"/>
        <charset val="1"/>
      </rPr>
      <t xml:space="preserve">AI</t>
    </r>
    <r>
      <rPr>
        <sz val="10"/>
        <rFont val="WenQuanYi Zen Hei"/>
        <family val="2"/>
      </rPr>
      <t xml:space="preserve">を当てはめて時短している。業務の要否そのものは問われていない。</t>
    </r>
  </si>
  <si>
    <r>
      <rPr>
        <sz val="10"/>
        <rFont val="WenQuanYi Zen Hei"/>
        <family val="2"/>
      </rPr>
      <t xml:space="preserve">ツール導入や</t>
    </r>
    <r>
      <rPr>
        <sz val="10"/>
        <rFont val="Arial"/>
        <family val="0"/>
        <charset val="1"/>
      </rPr>
      <t xml:space="preserve">PoC</t>
    </r>
    <r>
      <rPr>
        <sz val="10"/>
        <rFont val="WenQuanYi Zen Hei"/>
        <family val="2"/>
      </rPr>
      <t xml:space="preserve">の報告にとどまり、業務そのものは何も変わっていない。</t>
    </r>
  </si>
  <si>
    <r>
      <rPr>
        <sz val="9"/>
        <color rgb="FF595959"/>
        <rFont val="WenQuanYi Zen Hei"/>
        <family val="2"/>
      </rPr>
      <t xml:space="preserve">【</t>
    </r>
    <r>
      <rPr>
        <sz val="9"/>
        <color rgb="FF595959"/>
        <rFont val="Arial"/>
        <family val="0"/>
        <charset val="1"/>
      </rPr>
      <t xml:space="preserve">C1 </t>
    </r>
    <r>
      <rPr>
        <sz val="9"/>
        <color rgb="FF595959"/>
        <rFont val="WenQuanYi Zen Hei"/>
        <family val="2"/>
      </rPr>
      <t xml:space="preserve">の問い】</t>
    </r>
    <r>
      <rPr>
        <sz val="9"/>
        <color rgb="FF595959"/>
        <rFont val="Arial"/>
        <family val="0"/>
        <charset val="1"/>
      </rPr>
      <t xml:space="preserve">AI</t>
    </r>
    <r>
      <rPr>
        <sz val="9"/>
        <color rgb="FF595959"/>
        <rFont val="WenQuanYi Zen Hei"/>
        <family val="2"/>
      </rPr>
      <t xml:space="preserve">を既存業務に足したのか、業務のかたち自体を作り直したのか。　／　</t>
    </r>
    <r>
      <rPr>
        <sz val="9"/>
        <color rgb="FF595959"/>
        <rFont val="Arial"/>
        <family val="0"/>
        <charset val="1"/>
      </rPr>
      <t xml:space="preserve">AI</t>
    </r>
    <r>
      <rPr>
        <sz val="9"/>
        <color rgb="FF595959"/>
        <rFont val="WenQuanYi Zen Hei"/>
        <family val="2"/>
      </rPr>
      <t xml:space="preserve">を既存業務に付加したのではなく、業務の必要性を問い直し、廃止・統合・作り直しの判断まで踏み込めているか。「</t>
    </r>
    <r>
      <rPr>
        <sz val="9"/>
        <color rgb="FF595959"/>
        <rFont val="Arial"/>
        <family val="0"/>
        <charset val="1"/>
      </rPr>
      <t xml:space="preserve">AI</t>
    </r>
    <r>
      <rPr>
        <sz val="9"/>
        <color rgb="FF595959"/>
        <rFont val="WenQuanYi Zen Hei"/>
        <family val="2"/>
      </rPr>
      <t xml:space="preserve">ありき」ではなく「業務の全体像を見たうえで必要な箇所に</t>
    </r>
    <r>
      <rPr>
        <sz val="9"/>
        <color rgb="FF595959"/>
        <rFont val="Arial"/>
        <family val="0"/>
        <charset val="1"/>
      </rPr>
      <t xml:space="preserve">AI</t>
    </r>
    <r>
      <rPr>
        <sz val="9"/>
        <color rgb="FF595959"/>
        <rFont val="WenQuanYi Zen Hei"/>
        <family val="2"/>
      </rPr>
      <t xml:space="preserve">を置く」という思考の順序になっているかを見る。</t>
    </r>
  </si>
  <si>
    <t xml:space="preserve">C2</t>
  </si>
  <si>
    <t xml:space="preserve">組織への浸透と参加の広がり</t>
  </si>
  <si>
    <r>
      <rPr>
        <sz val="10"/>
        <rFont val="WenQuanYi Zen Hei"/>
        <family val="2"/>
      </rPr>
      <t xml:space="preserve">部門のほぼ全員が日常的に使い、「</t>
    </r>
    <r>
      <rPr>
        <sz val="10"/>
        <rFont val="Arial"/>
        <family val="0"/>
        <charset val="1"/>
      </rPr>
      <t xml:space="preserve">AI</t>
    </r>
    <r>
      <rPr>
        <sz val="10"/>
        <rFont val="WenQuanYi Zen Hei"/>
        <family val="2"/>
      </rPr>
      <t xml:space="preserve">を使うのが当たり前」と語られる状態。参加率が数値で示されている。若手や普段前に出ないメンバーが主役として登場し、これまで評価されにくかった立場の人が新たな価値を発揮している。</t>
    </r>
  </si>
  <si>
    <r>
      <rPr>
        <sz val="8"/>
        <rFont val="WenQuanYi Zen Hei"/>
        <family val="2"/>
      </rPr>
      <t xml:space="preserve">◎ 伊藤 裕一（執行役員）
　　優れたアイデアよりも部門全体の参加率と広がり。チーム全員を巻き込む
◎ 中山 高史（執行役員 </t>
    </r>
    <r>
      <rPr>
        <sz val="8"/>
        <rFont val="Arial"/>
        <family val="0"/>
        <charset val="1"/>
      </rPr>
      <t xml:space="preserve">/ AIexe </t>
    </r>
    <r>
      <rPr>
        <sz val="8"/>
        <rFont val="WenQuanYi Zen Hei"/>
        <family val="2"/>
      </rPr>
      <t xml:space="preserve">代表取締役社長）
　　「</t>
    </r>
    <r>
      <rPr>
        <sz val="8"/>
        <rFont val="Arial"/>
        <family val="0"/>
        <charset val="1"/>
      </rPr>
      <t xml:space="preserve">AI</t>
    </r>
    <r>
      <rPr>
        <sz val="8"/>
        <rFont val="WenQuanYi Zen Hei"/>
        <family val="2"/>
      </rPr>
      <t xml:space="preserve">を使うのが当たり前だよね」と部員全員が自然に思える組織・文化の醸成
◎ 松尾 邦孝（</t>
    </r>
    <r>
      <rPr>
        <sz val="8"/>
        <rFont val="Arial"/>
        <family val="0"/>
        <charset val="1"/>
      </rPr>
      <t xml:space="preserve">AI</t>
    </r>
    <r>
      <rPr>
        <sz val="8"/>
        <rFont val="WenQuanYi Zen Hei"/>
        <family val="2"/>
      </rPr>
      <t xml:space="preserve">トランスフォーメーション事業本部長）
　　部門全員が当たり前のように</t>
    </r>
    <r>
      <rPr>
        <sz val="8"/>
        <rFont val="Arial"/>
        <family val="0"/>
        <charset val="1"/>
      </rPr>
      <t xml:space="preserve">AI</t>
    </r>
    <r>
      <rPr>
        <sz val="8"/>
        <rFont val="WenQuanYi Zen Hei"/>
        <family val="2"/>
      </rPr>
      <t xml:space="preserve">を使っている状態を実現できているか
◎ 上坂 貴志（取締役専務執行役員）
　　実際に手を動かしている人、特に若手や普段前に出る機会が少ないメンバーが主役
○ 櫻田 浩（執行役員 </t>
    </r>
    <r>
      <rPr>
        <sz val="8"/>
        <rFont val="Arial"/>
        <family val="0"/>
        <charset val="1"/>
      </rPr>
      <t xml:space="preserve">/ SureBizCloud </t>
    </r>
    <r>
      <rPr>
        <sz val="8"/>
        <rFont val="WenQuanYi Zen Hei"/>
        <family val="2"/>
      </rPr>
      <t xml:space="preserve">代表取締役社長）
　　これまで評価されにくかった立場や役割のメンバーが新たな価値を発揮している</t>
    </r>
  </si>
  <si>
    <t xml:space="preserve">部門の過半が継続的に使用している。複数のチームに広がり、推進役も複数名いる。参加者の顔ぶれに広がりがある。</t>
  </si>
  <si>
    <t xml:space="preserve">一部チームには広がっているが、使う人と使わない人の差が大きい。主役は依然として一部のメンバーに偏っている。</t>
  </si>
  <si>
    <t xml:space="preserve">推進者とその周辺の数名にとどまる。部門としての広がりは語られていない。</t>
  </si>
  <si>
    <r>
      <rPr>
        <sz val="10"/>
        <rFont val="WenQuanYi Zen Hei"/>
        <family val="2"/>
      </rPr>
      <t xml:space="preserve">特定個人</t>
    </r>
    <r>
      <rPr>
        <sz val="10"/>
        <rFont val="Arial"/>
        <family val="0"/>
        <charset val="1"/>
      </rPr>
      <t xml:space="preserve">1</t>
    </r>
    <r>
      <rPr>
        <sz val="10"/>
        <rFont val="WenQuanYi Zen Hei"/>
        <family val="2"/>
      </rPr>
      <t xml:space="preserve">名の取り組み。部門への広がりが確認できない。</t>
    </r>
  </si>
  <si>
    <r>
      <rPr>
        <sz val="9"/>
        <color rgb="FF595959"/>
        <rFont val="WenQuanYi Zen Hei"/>
        <family val="2"/>
      </rPr>
      <t xml:space="preserve">【</t>
    </r>
    <r>
      <rPr>
        <sz val="9"/>
        <color rgb="FF595959"/>
        <rFont val="Arial"/>
        <family val="0"/>
        <charset val="1"/>
      </rPr>
      <t xml:space="preserve">C2 </t>
    </r>
    <r>
      <rPr>
        <sz val="9"/>
        <color rgb="FF595959"/>
        <rFont val="WenQuanYi Zen Hei"/>
        <family val="2"/>
      </rPr>
      <t xml:space="preserve">の問い】部門の何割が、当たり前のこととして使っているか。主役は誰か。　／　優れたアイデア単体ではなく、部門全体の参加率と広がりを見る。「</t>
    </r>
    <r>
      <rPr>
        <sz val="9"/>
        <color rgb="FF595959"/>
        <rFont val="Arial"/>
        <family val="0"/>
        <charset val="1"/>
      </rPr>
      <t xml:space="preserve">AI</t>
    </r>
    <r>
      <rPr>
        <sz val="9"/>
        <color rgb="FF595959"/>
        <rFont val="WenQuanYi Zen Hei"/>
        <family val="2"/>
      </rPr>
      <t xml:space="preserve">を使うのが当たり前だよね」と部員全員が自然に思える文化になっているか。実際に手を動かしている人、とりわけ若手や普段前に出る機会が少ないメンバーが主役を担えているか。</t>
    </r>
  </si>
  <si>
    <t xml:space="preserve">C3</t>
  </si>
  <si>
    <t xml:space="preserve">仕組み化と会社のプロセス資産化</t>
  </si>
  <si>
    <t xml:space="preserve">属人性を排した仕組み（手順・テンプレート・エージェント・基盤）として整備され、担当者が変わっても回る。成果物が全社のプロセス資産として登録・再利用され、他部門が実際に使った実績がある。</t>
  </si>
  <si>
    <r>
      <rPr>
        <sz val="8"/>
        <rFont val="WenQuanYi Zen Hei"/>
        <family val="2"/>
      </rPr>
      <t xml:space="preserve">◎ 松尾 邦孝（</t>
    </r>
    <r>
      <rPr>
        <sz val="8"/>
        <rFont val="Arial"/>
        <family val="0"/>
        <charset val="1"/>
      </rPr>
      <t xml:space="preserve">AI</t>
    </r>
    <r>
      <rPr>
        <sz val="8"/>
        <rFont val="WenQuanYi Zen Hei"/>
        <family val="2"/>
      </rPr>
      <t xml:space="preserve">トランスフォーメーション事業本部長）
　　個人の熱意依存か、組織として自律的に回っているか。仕組み化のプロセスを明確に示す
◎ 小杉 智（執行役員 </t>
    </r>
    <r>
      <rPr>
        <sz val="8"/>
        <rFont val="Arial"/>
        <family val="0"/>
        <charset val="1"/>
      </rPr>
      <t xml:space="preserve">/ </t>
    </r>
    <r>
      <rPr>
        <sz val="8"/>
        <rFont val="WenQuanYi Zen Hei"/>
        <family val="2"/>
      </rPr>
      <t xml:space="preserve">ネクストスケープ 代表取締役社長）
　　部門でつくったものが「会社のプロセス資産」になり、再利用されるサイクルが形成されているか
○ 中村 智之（執行役員）
　　誰でも実行できる再現性</t>
    </r>
  </si>
  <si>
    <t xml:space="preserve">仕組み化され部門内で自律的に回っている。再利用可能な形で共有されているが、他部門での利用実績はまだない。</t>
  </si>
  <si>
    <t xml:space="preserve">手順やナレッジは残っているが、運用は推進者の関与に依存している。再現性は限定的。</t>
  </si>
  <si>
    <t xml:space="preserve">個人の熱意で回っており、その人が抜ければ止まる。仕組み化のプロセスが語られていない。</t>
  </si>
  <si>
    <t xml:space="preserve">単発の取り組みで、再現の手立てがない。</t>
  </si>
  <si>
    <r>
      <rPr>
        <sz val="9"/>
        <color rgb="FF595959"/>
        <rFont val="WenQuanYi Zen Hei"/>
        <family val="2"/>
      </rPr>
      <t xml:space="preserve">【</t>
    </r>
    <r>
      <rPr>
        <sz val="9"/>
        <color rgb="FF595959"/>
        <rFont val="Arial"/>
        <family val="0"/>
        <charset val="1"/>
      </rPr>
      <t xml:space="preserve">C3 </t>
    </r>
    <r>
      <rPr>
        <sz val="9"/>
        <color rgb="FF595959"/>
        <rFont val="WenQuanYi Zen Hei"/>
        <family val="2"/>
      </rPr>
      <t xml:space="preserve">の問い】担当者が抜けても回るか。他部門が実際に再利用しているか。　／　個人の熱意に依存しているのか、組織として自律的に回っているのか。仕組み化のプロセスが明確に示されているか。つくったものが「会社のプロセス資産」として再利用されるサイクルになっているか、誰でも実行できる再現性があるかを見る。</t>
    </r>
  </si>
  <si>
    <t xml:space="preserve">C4</t>
  </si>
  <si>
    <t xml:space="preserve">波及範囲と経営視座</t>
  </si>
  <si>
    <r>
      <rPr>
        <sz val="10"/>
        <rFont val="WenQuanYi Zen Hei"/>
        <family val="2"/>
      </rPr>
      <t xml:space="preserve">全社を「面」で引き上げる取り組みになっており、社外・顧客（とりわけ情シス体制や</t>
    </r>
    <r>
      <rPr>
        <sz val="10"/>
        <rFont val="Arial"/>
        <family val="0"/>
        <charset val="1"/>
      </rPr>
      <t xml:space="preserve">IT</t>
    </r>
    <r>
      <rPr>
        <sz val="10"/>
        <rFont val="WenQuanYi Zen Hei"/>
        <family val="2"/>
      </rPr>
      <t xml:space="preserve">リテラシーが十分でない顧客）を一歩先へ引き上げる伴走まで射程に入っている。データ基盤など経営レベルの課題提起を伴う。</t>
    </r>
  </si>
  <si>
    <r>
      <rPr>
        <sz val="8"/>
        <rFont val="WenQuanYi Zen Hei"/>
        <family val="2"/>
      </rPr>
      <t xml:space="preserve">◎ 安田 博一（常務執行役員）
　　単なる部門最適ではなく、会社全体を「面」で引き上げる観点と具体的な取り組み
◎ 中村 智之（執行役員）
　　自部門に閉じず、他部門・全社への貢献と、データ基盤など経営視点での課題提起
◎ 勝田 耕平（取締役常務執行役員）
　　人の感覚に依存していた部門間連携を、</t>
    </r>
    <r>
      <rPr>
        <sz val="8"/>
        <rFont val="Arial"/>
        <family val="0"/>
        <charset val="1"/>
      </rPr>
      <t xml:space="preserve">AI</t>
    </r>
    <r>
      <rPr>
        <sz val="8"/>
        <rFont val="WenQuanYi Zen Hei"/>
        <family val="2"/>
      </rPr>
      <t xml:space="preserve">とデータで「当たり前」に成立させる
◎ 櫻田 浩（執行役員 </t>
    </r>
    <r>
      <rPr>
        <sz val="8"/>
        <rFont val="Arial"/>
        <family val="0"/>
        <charset val="1"/>
      </rPr>
      <t xml:space="preserve">/ SureBizCloud </t>
    </r>
    <r>
      <rPr>
        <sz val="8"/>
        <rFont val="WenQuanYi Zen Hei"/>
        <family val="2"/>
      </rPr>
      <t xml:space="preserve">代表取締役社長）
　　体制や</t>
    </r>
    <r>
      <rPr>
        <sz val="8"/>
        <rFont val="Arial"/>
        <family val="0"/>
        <charset val="1"/>
      </rPr>
      <t xml:space="preserve">IT</t>
    </r>
    <r>
      <rPr>
        <sz val="8"/>
        <rFont val="WenQuanYi Zen Hei"/>
        <family val="2"/>
      </rPr>
      <t xml:space="preserve">リテラシーが十分でないお客さまを一歩先のステージへ引き上げ、伴走できるリーダー
○ 中村 智之（執行役員）
　　社外・グローバルにも展開できる普遍性
○ 牧田 幸弘（代表取締役社長）
　　成果の大きさだけでなく、その効果の広がり</t>
    </r>
  </si>
  <si>
    <r>
      <rPr>
        <sz val="10"/>
        <rFont val="WenQuanYi Zen Hei"/>
        <family val="2"/>
      </rPr>
      <t xml:space="preserve">部門間連携が</t>
    </r>
    <r>
      <rPr>
        <sz val="10"/>
        <rFont val="Arial"/>
        <family val="0"/>
        <charset val="1"/>
      </rPr>
      <t xml:space="preserve">AI</t>
    </r>
    <r>
      <rPr>
        <sz val="10"/>
        <rFont val="WenQuanYi Zen Hei"/>
        <family val="2"/>
      </rPr>
      <t xml:space="preserve">とデータで「当たり前」に成立し、他部門への展開実績がある。全社視点での課題提起ができている。</t>
    </r>
  </si>
  <si>
    <t xml:space="preserve">他部門への共有・展開の動きはあるが、まだ点の連携にとどまる。経営視点の提起は弱い。</t>
  </si>
  <si>
    <t xml:space="preserve">自部門内での最適化にとどまる。外への波及が語られていない。</t>
  </si>
  <si>
    <t xml:space="preserve">個別業務の最適化にとどまり、部門外への視点がない。</t>
  </si>
  <si>
    <r>
      <rPr>
        <sz val="9"/>
        <color rgb="FF595959"/>
        <rFont val="WenQuanYi Zen Hei"/>
        <family val="2"/>
      </rPr>
      <t xml:space="preserve">【</t>
    </r>
    <r>
      <rPr>
        <sz val="9"/>
        <color rgb="FF595959"/>
        <rFont val="Arial"/>
        <family val="0"/>
        <charset val="1"/>
      </rPr>
      <t xml:space="preserve">C4 </t>
    </r>
    <r>
      <rPr>
        <sz val="9"/>
        <color rgb="FF595959"/>
        <rFont val="WenQuanYi Zen Hei"/>
        <family val="2"/>
      </rPr>
      <t xml:space="preserve">の問い】自部門で閉じているか、面で会社を、さらに顧客を引き上げているか。　／　単なる部門最適ではなく、会社全体を「面」で引き上げる観点と具体的な取り組みがあるか。人の感覚に依存していた部門間連携を</t>
    </r>
    <r>
      <rPr>
        <sz val="9"/>
        <color rgb="FF595959"/>
        <rFont val="Arial"/>
        <family val="0"/>
        <charset val="1"/>
      </rPr>
      <t xml:space="preserve">AI</t>
    </r>
    <r>
      <rPr>
        <sz val="9"/>
        <color rgb="FF595959"/>
        <rFont val="WenQuanYi Zen Hei"/>
        <family val="2"/>
      </rPr>
      <t xml:space="preserve">とデータで「当たり前」に成立させているか。データ基盤など経営視点での課題提起があるか。さらに、</t>
    </r>
    <r>
      <rPr>
        <sz val="9"/>
        <color rgb="FF595959"/>
        <rFont val="Arial"/>
        <family val="0"/>
        <charset val="1"/>
      </rPr>
      <t xml:space="preserve">IT</t>
    </r>
    <r>
      <rPr>
        <sz val="9"/>
        <color rgb="FF595959"/>
        <rFont val="WenQuanYi Zen Hei"/>
        <family val="2"/>
      </rPr>
      <t xml:space="preserve">リテラシーや体制が十分でない顧客を一歩先のステージへ引き上げる伴走まで射程に入っているかを見る。</t>
    </r>
  </si>
  <si>
    <t xml:space="preserve">C5</t>
  </si>
  <si>
    <t xml:space="preserve">創出した価値と、その再投資先</t>
  </si>
  <si>
    <t xml:space="preserve">創出した時間・リソースの再投資先が具体的に語られ（考える仕事、現場把握、人と話す時間、次の打ち手）、二段・三段先のゴールに向けていま手元を変えている構造が説明されている。ビジネスインパクトも定量で示されている。</t>
  </si>
  <si>
    <r>
      <rPr>
        <sz val="8"/>
        <rFont val="WenQuanYi Zen Hei"/>
        <family val="2"/>
      </rPr>
      <t xml:space="preserve">◎ 伊藤 英啓（執行役員）
　　</t>
    </r>
    <r>
      <rPr>
        <sz val="8"/>
        <rFont val="Arial"/>
        <family val="0"/>
        <charset val="1"/>
      </rPr>
      <t xml:space="preserve">AI</t>
    </r>
    <r>
      <rPr>
        <sz val="8"/>
        <rFont val="WenQuanYi Zen Hei"/>
        <family val="2"/>
      </rPr>
      <t xml:space="preserve">で創出した時間を何に使ったのか。二段・三段先のゴールに向かって手元を変えている構造
○ 伊藤 裕一（執行役員）
　　創出された時間を考える仕事へ。現場の把握や、人と話す時間を増やすことに使えているか
○ 中村 智之（執行役員）
　　業務や事業がどれだけ変わったかというビジネスインパクト</t>
    </r>
  </si>
  <si>
    <t xml:space="preserve">効果が定量で示され、再投資先も述べられている。ただし先のゴールとの接続はやや弱い。</t>
  </si>
  <si>
    <t xml:space="preserve">効果は示されているが、浮いた時間の行き先が語られていない。</t>
  </si>
  <si>
    <t xml:space="preserve">効果が定性的・体感的な記述にとどまる。</t>
  </si>
  <si>
    <t xml:space="preserve">効果の記述がない、または「時短できた」で完結している。</t>
  </si>
  <si>
    <r>
      <rPr>
        <sz val="9"/>
        <color rgb="FF595959"/>
        <rFont val="WenQuanYi Zen Hei"/>
        <family val="2"/>
      </rPr>
      <t xml:space="preserve">【</t>
    </r>
    <r>
      <rPr>
        <sz val="9"/>
        <color rgb="FF595959"/>
        <rFont val="Arial"/>
        <family val="0"/>
        <charset val="1"/>
      </rPr>
      <t xml:space="preserve">C5 </t>
    </r>
    <r>
      <rPr>
        <sz val="9"/>
        <color rgb="FF595959"/>
        <rFont val="WenQuanYi Zen Hei"/>
        <family val="2"/>
      </rPr>
      <t xml:space="preserve">の問い】浮いた時間はどこへ行ったか。二段・三段先とつながっているか。　／　</t>
    </r>
    <r>
      <rPr>
        <sz val="9"/>
        <color rgb="FF595959"/>
        <rFont val="Arial"/>
        <family val="0"/>
        <charset val="1"/>
      </rPr>
      <t xml:space="preserve">AI</t>
    </r>
    <r>
      <rPr>
        <sz val="9"/>
        <color rgb="FF595959"/>
        <rFont val="WenQuanYi Zen Hei"/>
        <family val="2"/>
      </rPr>
      <t xml:space="preserve">で創出した時間・リソースを何に使ったのかが前面に出ているか。効率化して終わりではなく、考える仕事、現場の把握、人と話す時間といった再投資先が語られているか。二段・三段先のゴールに向かって、いま手元のものを変えている構造で説明できているか。業務や事業がどれだけ変わったかというビジネスインパクトも併せて見る。</t>
    </r>
  </si>
  <si>
    <t xml:space="preserve">C6</t>
  </si>
  <si>
    <t xml:space="preserve">語りの当事者性と熱量</t>
  </si>
  <si>
    <t xml:space="preserve">部門長本人が自分の言葉で語り、工夫や判断の理由を言語化できている。共有したくなる熱量があり、聞き手を引き込む面白さ・驚きがある。手を動かした当事者が前に立っている。</t>
  </si>
  <si>
    <r>
      <rPr>
        <sz val="8"/>
        <rFont val="WenQuanYi Zen Hei"/>
        <family val="2"/>
      </rPr>
      <t xml:space="preserve">◎ 上坂 貴志（取締役専務執行役員）
　　取り組みを自分の言葉で語れる人が前に立っているか
◎ 牧田 幸弘（代表取締役社長）
　　成果の大きさだけでなく、その熱量。両面を体現できているか
○ 牧田 幸弘（代表取締役社長）
　　自分自身の言葉で価値を語れるか。自ら共有したくなる熱量
○ 上坂 貴志（取締役専務執行役員）
　　聞き手が思わず引き込まれる可能性、面白さ、ワクワク感、驚き
○ 中山 高史（執行役員 </t>
    </r>
    <r>
      <rPr>
        <sz val="8"/>
        <rFont val="Arial"/>
        <family val="0"/>
        <charset val="1"/>
      </rPr>
      <t xml:space="preserve">/ AIexe </t>
    </r>
    <r>
      <rPr>
        <sz val="8"/>
        <rFont val="WenQuanYi Zen Hei"/>
        <family val="2"/>
      </rPr>
      <t xml:space="preserve">代表取締役社長）
　　自分なりの工夫を言語化できているか
○ 前田 憲仁（執行役員）
　　体験を言語化して、周囲に伝播させているレベルに到達しているか
○ 勝田 耕平（取締役常務執行役員）
　　本人が楽しみながら新しいことに踏み出しているか</t>
    </r>
  </si>
  <si>
    <t xml:space="preserve">自分の言葉で語れており、熱量が伝わる。言語化も概ねできている。</t>
  </si>
  <si>
    <t xml:space="preserve">内容は整理されているが借り物の言葉が混じり、熱量が読み取りにくい。</t>
  </si>
  <si>
    <t xml:space="preserve">報告調で、当事者の顔が見えない。</t>
  </si>
  <si>
    <t xml:space="preserve">代理や資料の引き写しで、本人の言葉がまったくない。</t>
  </si>
  <si>
    <r>
      <rPr>
        <sz val="9"/>
        <color rgb="FF595959"/>
        <rFont val="WenQuanYi Zen Hei"/>
        <family val="2"/>
      </rPr>
      <t xml:space="preserve">【</t>
    </r>
    <r>
      <rPr>
        <sz val="9"/>
        <color rgb="FF595959"/>
        <rFont val="Arial"/>
        <family val="0"/>
        <charset val="1"/>
      </rPr>
      <t xml:space="preserve">C6 </t>
    </r>
    <r>
      <rPr>
        <sz val="9"/>
        <color rgb="FF595959"/>
        <rFont val="WenQuanYi Zen Hei"/>
        <family val="2"/>
      </rPr>
      <t xml:space="preserve">の問い】本人の言葉か。借り物の言葉か。聞き手が引き込まれるか。　／　取り組みを自分の言葉で語れる人が前に立っているか。成果の大小にかかわらず、「これは良かった」と自ら共有したくなる熱量があるか。自分なりの工夫を言語化し、周囲に伝播させられているか。聞き手が思わず引き込まれる面白さ・驚き・ワクワク感があるか。</t>
    </r>
  </si>
  <si>
    <r>
      <rPr>
        <b val="true"/>
        <sz val="16"/>
        <color rgb="FFFFFFFF"/>
        <rFont val="WenQuanYi Zen Hei"/>
        <family val="2"/>
      </rPr>
      <t xml:space="preserve">審査員</t>
    </r>
    <r>
      <rPr>
        <b val="true"/>
        <sz val="16"/>
        <color rgb="FFFFFFFF"/>
        <rFont val="Arial"/>
        <family val="0"/>
        <charset val="1"/>
      </rPr>
      <t xml:space="preserve">12</t>
    </r>
    <r>
      <rPr>
        <b val="true"/>
        <sz val="16"/>
        <color rgb="FFFFFFFF"/>
        <rFont val="WenQuanYi Zen Hei"/>
        <family val="2"/>
      </rPr>
      <t xml:space="preserve">名 </t>
    </r>
    <r>
      <rPr>
        <b val="true"/>
        <sz val="16"/>
        <color rgb="FFFFFFFF"/>
        <rFont val="Arial"/>
        <family val="0"/>
        <charset val="1"/>
      </rPr>
      <t xml:space="preserve">× 6</t>
    </r>
    <r>
      <rPr>
        <b val="true"/>
        <sz val="16"/>
        <color rgb="FFFFFFFF"/>
        <rFont val="WenQuanYi Zen Hei"/>
        <family val="2"/>
      </rPr>
      <t xml:space="preserve">観点 カバレッジ対応表</t>
    </r>
  </si>
  <si>
    <r>
      <rPr>
        <sz val="9"/>
        <color rgb="FF595959"/>
        <rFont val="WenQuanYi Zen Hei"/>
        <family val="2"/>
      </rPr>
      <t xml:space="preserve">◎＝グランドフィナーレコメントが直接この観点の根拠になっている　／　○＝審査コメント（ステージ用）が補助的に反映されている。</t>
    </r>
    <r>
      <rPr>
        <sz val="9"/>
        <color rgb="FF595959"/>
        <rFont val="Arial"/>
        <family val="0"/>
        <charset val="1"/>
      </rPr>
      <t xml:space="preserve">12</t>
    </r>
    <r>
      <rPr>
        <sz val="9"/>
        <color rgb="FF595959"/>
        <rFont val="WenQuanYi Zen Hei"/>
        <family val="2"/>
      </rPr>
      <t xml:space="preserve">名全員が最低</t>
    </r>
    <r>
      <rPr>
        <sz val="9"/>
        <color rgb="FF595959"/>
        <rFont val="Arial"/>
        <family val="0"/>
        <charset val="1"/>
      </rPr>
      <t xml:space="preserve">1</t>
    </r>
    <r>
      <rPr>
        <sz val="9"/>
        <color rgb="FF595959"/>
        <rFont val="WenQuanYi Zen Hei"/>
        <family val="2"/>
      </rPr>
      <t xml:space="preserve">観点に◎で反映されている。</t>
    </r>
  </si>
  <si>
    <t xml:space="preserve">No</t>
  </si>
  <si>
    <t xml:space="preserve">審査員</t>
  </si>
  <si>
    <t xml:space="preserve">役職</t>
  </si>
  <si>
    <r>
      <rPr>
        <b val="true"/>
        <sz val="10"/>
        <color rgb="FFFFFFFF"/>
        <rFont val="Arial"/>
        <family val="0"/>
        <charset val="1"/>
      </rPr>
      <t xml:space="preserve">C1
</t>
    </r>
    <r>
      <rPr>
        <b val="true"/>
        <sz val="10"/>
        <color rgb="FFFFFFFF"/>
        <rFont val="WenQuanYi Zen Hei"/>
        <family val="2"/>
      </rPr>
      <t xml:space="preserve">業務再設計
</t>
    </r>
    <r>
      <rPr>
        <b val="true"/>
        <sz val="10"/>
        <color rgb="FFFFFFFF"/>
        <rFont val="Arial"/>
        <family val="0"/>
        <charset val="1"/>
      </rPr>
      <t xml:space="preserve">(18</t>
    </r>
    <r>
      <rPr>
        <b val="true"/>
        <sz val="10"/>
        <color rgb="FFFFFFFF"/>
        <rFont val="WenQuanYi Zen Hei"/>
        <family val="2"/>
      </rPr>
      <t xml:space="preserve">点</t>
    </r>
    <r>
      <rPr>
        <b val="true"/>
        <sz val="10"/>
        <color rgb="FFFFFFFF"/>
        <rFont val="Arial"/>
        <family val="0"/>
        <charset val="1"/>
      </rPr>
      <t xml:space="preserve">)</t>
    </r>
  </si>
  <si>
    <r>
      <rPr>
        <b val="true"/>
        <sz val="10"/>
        <color rgb="FFFFFFFF"/>
        <rFont val="Arial"/>
        <family val="0"/>
        <charset val="1"/>
      </rPr>
      <t xml:space="preserve">C2
</t>
    </r>
    <r>
      <rPr>
        <b val="true"/>
        <sz val="10"/>
        <color rgb="FFFFFFFF"/>
        <rFont val="WenQuanYi Zen Hei"/>
        <family val="2"/>
      </rPr>
      <t xml:space="preserve">組織浸透
</t>
    </r>
    <r>
      <rPr>
        <b val="true"/>
        <sz val="10"/>
        <color rgb="FFFFFFFF"/>
        <rFont val="Arial"/>
        <family val="0"/>
        <charset val="1"/>
      </rPr>
      <t xml:space="preserve">(20</t>
    </r>
    <r>
      <rPr>
        <b val="true"/>
        <sz val="10"/>
        <color rgb="FFFFFFFF"/>
        <rFont val="WenQuanYi Zen Hei"/>
        <family val="2"/>
      </rPr>
      <t xml:space="preserve">点</t>
    </r>
    <r>
      <rPr>
        <b val="true"/>
        <sz val="10"/>
        <color rgb="FFFFFFFF"/>
        <rFont val="Arial"/>
        <family val="0"/>
        <charset val="1"/>
      </rPr>
      <t xml:space="preserve">)</t>
    </r>
  </si>
  <si>
    <r>
      <rPr>
        <b val="true"/>
        <sz val="10"/>
        <color rgb="FFFFFFFF"/>
        <rFont val="Arial"/>
        <family val="0"/>
        <charset val="1"/>
      </rPr>
      <t xml:space="preserve">C3
</t>
    </r>
    <r>
      <rPr>
        <b val="true"/>
        <sz val="10"/>
        <color rgb="FFFFFFFF"/>
        <rFont val="WenQuanYi Zen Hei"/>
        <family val="2"/>
      </rPr>
      <t xml:space="preserve">仕組み化・資産化
</t>
    </r>
    <r>
      <rPr>
        <b val="true"/>
        <sz val="10"/>
        <color rgb="FFFFFFFF"/>
        <rFont val="Arial"/>
        <family val="0"/>
        <charset val="1"/>
      </rPr>
      <t xml:space="preserve">(11</t>
    </r>
    <r>
      <rPr>
        <b val="true"/>
        <sz val="10"/>
        <color rgb="FFFFFFFF"/>
        <rFont val="WenQuanYi Zen Hei"/>
        <family val="2"/>
      </rPr>
      <t xml:space="preserve">点</t>
    </r>
    <r>
      <rPr>
        <b val="true"/>
        <sz val="10"/>
        <color rgb="FFFFFFFF"/>
        <rFont val="Arial"/>
        <family val="0"/>
        <charset val="1"/>
      </rPr>
      <t xml:space="preserve">)</t>
    </r>
  </si>
  <si>
    <r>
      <rPr>
        <b val="true"/>
        <sz val="10"/>
        <color rgb="FFFFFFFF"/>
        <rFont val="Arial"/>
        <family val="0"/>
        <charset val="1"/>
      </rPr>
      <t xml:space="preserve">C4
</t>
    </r>
    <r>
      <rPr>
        <b val="true"/>
        <sz val="10"/>
        <color rgb="FFFFFFFF"/>
        <rFont val="WenQuanYi Zen Hei"/>
        <family val="2"/>
      </rPr>
      <t xml:space="preserve">波及と視座
</t>
    </r>
    <r>
      <rPr>
        <b val="true"/>
        <sz val="10"/>
        <color rgb="FFFFFFFF"/>
        <rFont val="Arial"/>
        <family val="0"/>
        <charset val="1"/>
      </rPr>
      <t xml:space="preserve">(22</t>
    </r>
    <r>
      <rPr>
        <b val="true"/>
        <sz val="10"/>
        <color rgb="FFFFFFFF"/>
        <rFont val="WenQuanYi Zen Hei"/>
        <family val="2"/>
      </rPr>
      <t xml:space="preserve">点</t>
    </r>
    <r>
      <rPr>
        <b val="true"/>
        <sz val="10"/>
        <color rgb="FFFFFFFF"/>
        <rFont val="Arial"/>
        <family val="0"/>
        <charset val="1"/>
      </rPr>
      <t xml:space="preserve">)</t>
    </r>
  </si>
  <si>
    <r>
      <rPr>
        <b val="true"/>
        <sz val="10"/>
        <color rgb="FFFFFFFF"/>
        <rFont val="Arial"/>
        <family val="0"/>
        <charset val="1"/>
      </rPr>
      <t xml:space="preserve">C5
</t>
    </r>
    <r>
      <rPr>
        <b val="true"/>
        <sz val="10"/>
        <color rgb="FFFFFFFF"/>
        <rFont val="WenQuanYi Zen Hei"/>
        <family val="2"/>
      </rPr>
      <t xml:space="preserve">価値と再投資
</t>
    </r>
    <r>
      <rPr>
        <b val="true"/>
        <sz val="10"/>
        <color rgb="FFFFFFFF"/>
        <rFont val="Arial"/>
        <family val="0"/>
        <charset val="1"/>
      </rPr>
      <t xml:space="preserve">(9</t>
    </r>
    <r>
      <rPr>
        <b val="true"/>
        <sz val="10"/>
        <color rgb="FFFFFFFF"/>
        <rFont val="WenQuanYi Zen Hei"/>
        <family val="2"/>
      </rPr>
      <t xml:space="preserve">点</t>
    </r>
    <r>
      <rPr>
        <b val="true"/>
        <sz val="10"/>
        <color rgb="FFFFFFFF"/>
        <rFont val="Arial"/>
        <family val="0"/>
        <charset val="1"/>
      </rPr>
      <t xml:space="preserve">)</t>
    </r>
  </si>
  <si>
    <r>
      <rPr>
        <b val="true"/>
        <sz val="10"/>
        <color rgb="FFFFFFFF"/>
        <rFont val="Arial"/>
        <family val="0"/>
        <charset val="1"/>
      </rPr>
      <t xml:space="preserve">C6
</t>
    </r>
    <r>
      <rPr>
        <b val="true"/>
        <sz val="10"/>
        <color rgb="FFFFFFFF"/>
        <rFont val="WenQuanYi Zen Hei"/>
        <family val="2"/>
      </rPr>
      <t xml:space="preserve">当事者性と熱量
</t>
    </r>
    <r>
      <rPr>
        <b val="true"/>
        <sz val="10"/>
        <color rgb="FFFFFFFF"/>
        <rFont val="Arial"/>
        <family val="0"/>
        <charset val="1"/>
      </rPr>
      <t xml:space="preserve">(20</t>
    </r>
    <r>
      <rPr>
        <b val="true"/>
        <sz val="10"/>
        <color rgb="FFFFFFFF"/>
        <rFont val="WenQuanYi Zen Hei"/>
        <family val="2"/>
      </rPr>
      <t xml:space="preserve">点</t>
    </r>
    <r>
      <rPr>
        <b val="true"/>
        <sz val="10"/>
        <color rgb="FFFFFFFF"/>
        <rFont val="Arial"/>
        <family val="0"/>
        <charset val="1"/>
      </rPr>
      <t xml:space="preserve">)</t>
    </r>
  </si>
  <si>
    <t xml:space="preserve">上坂 貴志</t>
  </si>
  <si>
    <t xml:space="preserve">取締役専務執行役員</t>
  </si>
  <si>
    <t xml:space="preserve">◎</t>
  </si>
  <si>
    <t xml:space="preserve">中山 高史</t>
  </si>
  <si>
    <r>
      <rPr>
        <sz val="10"/>
        <rFont val="WenQuanYi Zen Hei"/>
        <family val="2"/>
      </rPr>
      <t xml:space="preserve">執行役員 </t>
    </r>
    <r>
      <rPr>
        <sz val="10"/>
        <rFont val="Arial"/>
        <family val="0"/>
        <charset val="1"/>
      </rPr>
      <t xml:space="preserve">/ AIexe </t>
    </r>
    <r>
      <rPr>
        <sz val="10"/>
        <rFont val="WenQuanYi Zen Hei"/>
        <family val="2"/>
      </rPr>
      <t xml:space="preserve">代表取締役社長</t>
    </r>
  </si>
  <si>
    <t xml:space="preserve">○</t>
  </si>
  <si>
    <t xml:space="preserve">中村 智之</t>
  </si>
  <si>
    <t xml:space="preserve">執行役員</t>
  </si>
  <si>
    <t xml:space="preserve">伊藤 英啓</t>
  </si>
  <si>
    <t xml:space="preserve">伊藤 裕一</t>
  </si>
  <si>
    <t xml:space="preserve">前田 憲仁</t>
  </si>
  <si>
    <t xml:space="preserve">勝田 耕平</t>
  </si>
  <si>
    <t xml:space="preserve">取締役常務執行役員</t>
  </si>
  <si>
    <t xml:space="preserve">安田 博一</t>
  </si>
  <si>
    <t xml:space="preserve">常務執行役員</t>
  </si>
  <si>
    <t xml:space="preserve">小杉 智</t>
  </si>
  <si>
    <r>
      <rPr>
        <sz val="10"/>
        <rFont val="WenQuanYi Zen Hei"/>
        <family val="2"/>
      </rPr>
      <t xml:space="preserve">執行役員 </t>
    </r>
    <r>
      <rPr>
        <sz val="10"/>
        <rFont val="Arial"/>
        <family val="0"/>
        <charset val="1"/>
      </rPr>
      <t xml:space="preserve">/ </t>
    </r>
    <r>
      <rPr>
        <sz val="10"/>
        <rFont val="WenQuanYi Zen Hei"/>
        <family val="2"/>
      </rPr>
      <t xml:space="preserve">ネクストスケープ 代表取締役社長</t>
    </r>
  </si>
  <si>
    <t xml:space="preserve">松尾 邦孝</t>
  </si>
  <si>
    <r>
      <rPr>
        <sz val="10"/>
        <rFont val="Arial"/>
        <family val="0"/>
        <charset val="1"/>
      </rPr>
      <t xml:space="preserve">AI</t>
    </r>
    <r>
      <rPr>
        <sz val="10"/>
        <rFont val="WenQuanYi Zen Hei"/>
        <family val="2"/>
      </rPr>
      <t xml:space="preserve">トランスフォーメーション事業本部長</t>
    </r>
  </si>
  <si>
    <t xml:space="preserve">櫻田 浩</t>
  </si>
  <si>
    <r>
      <rPr>
        <sz val="10"/>
        <rFont val="WenQuanYi Zen Hei"/>
        <family val="2"/>
      </rPr>
      <t xml:space="preserve">執行役員 </t>
    </r>
    <r>
      <rPr>
        <sz val="10"/>
        <rFont val="Arial"/>
        <family val="0"/>
        <charset val="1"/>
      </rPr>
      <t xml:space="preserve">/ SureBizCloud </t>
    </r>
    <r>
      <rPr>
        <sz val="10"/>
        <rFont val="WenQuanYi Zen Hei"/>
        <family val="2"/>
      </rPr>
      <t xml:space="preserve">代表取締役社長</t>
    </r>
  </si>
  <si>
    <t xml:space="preserve">牧田 幸弘</t>
  </si>
  <si>
    <t xml:space="preserve">代表取締役社長</t>
  </si>
  <si>
    <r>
      <rPr>
        <b val="true"/>
        <sz val="10"/>
        <rFont val="WenQuanYi Zen Hei"/>
        <family val="2"/>
      </rPr>
      <t xml:space="preserve">◎ の数 </t>
    </r>
    <r>
      <rPr>
        <b val="true"/>
        <sz val="10"/>
        <rFont val="Arial"/>
        <family val="0"/>
        <charset val="1"/>
      </rPr>
      <t xml:space="preserve">/ ○ </t>
    </r>
    <r>
      <rPr>
        <b val="true"/>
        <sz val="10"/>
        <rFont val="WenQuanYi Zen Hei"/>
        <family val="2"/>
      </rPr>
      <t xml:space="preserve">の数</t>
    </r>
  </si>
  <si>
    <t xml:space="preserve">2 / 4</t>
  </si>
  <si>
    <t xml:space="preserve">4 / 1</t>
  </si>
  <si>
    <t xml:space="preserve">2 / 1</t>
  </si>
  <si>
    <t xml:space="preserve">4 / 2</t>
  </si>
  <si>
    <t xml:space="preserve">1 / 2</t>
  </si>
  <si>
    <t xml:space="preserve">2 / 5</t>
  </si>
  <si>
    <r>
      <rPr>
        <b val="true"/>
        <sz val="10"/>
        <rFont val="WenQuanYi Zen Hei"/>
        <family val="2"/>
      </rPr>
      <t xml:space="preserve">言及重み（◎</t>
    </r>
    <r>
      <rPr>
        <b val="true"/>
        <sz val="10"/>
        <rFont val="Arial"/>
        <family val="0"/>
        <charset val="1"/>
      </rPr>
      <t xml:space="preserve">×1.0</t>
    </r>
    <r>
      <rPr>
        <b val="true"/>
        <sz val="10"/>
        <rFont val="WenQuanYi Zen Hei"/>
        <family val="2"/>
      </rPr>
      <t xml:space="preserve">＋○</t>
    </r>
    <r>
      <rPr>
        <b val="true"/>
        <sz val="10"/>
        <rFont val="Arial"/>
        <family val="0"/>
        <charset val="1"/>
      </rPr>
      <t xml:space="preserve">×0.5</t>
    </r>
    <r>
      <rPr>
        <b val="true"/>
        <sz val="10"/>
        <rFont val="WenQuanYi Zen Hei"/>
        <family val="2"/>
      </rPr>
      <t xml:space="preserve">）</t>
    </r>
  </si>
  <si>
    <r>
      <rPr>
        <b val="true"/>
        <sz val="10"/>
        <color rgb="FFFFFFFF"/>
        <rFont val="WenQuanYi Zen Hei"/>
        <family val="2"/>
      </rPr>
      <t xml:space="preserve">→ 配点（</t>
    </r>
    <r>
      <rPr>
        <b val="true"/>
        <sz val="10"/>
        <color rgb="FFFFFFFF"/>
        <rFont val="Arial"/>
        <family val="0"/>
        <charset val="1"/>
      </rPr>
      <t xml:space="preserve">100</t>
    </r>
    <r>
      <rPr>
        <b val="true"/>
        <sz val="10"/>
        <color rgb="FFFFFFFF"/>
        <rFont val="WenQuanYi Zen Hei"/>
        <family val="2"/>
      </rPr>
      <t xml:space="preserve">点に正規化）</t>
    </r>
  </si>
  <si>
    <r>
      <rPr>
        <sz val="9"/>
        <color rgb="FF595959"/>
        <rFont val="WenQuanYi Zen Hei"/>
        <family val="2"/>
      </rPr>
      <t xml:space="preserve">各審査員の発言原文は </t>
    </r>
    <r>
      <rPr>
        <sz val="9"/>
        <color rgb="FF595959"/>
        <rFont val="Arial"/>
        <family val="0"/>
        <charset val="1"/>
      </rPr>
      <t xml:space="preserve">06_</t>
    </r>
    <r>
      <rPr>
        <sz val="9"/>
        <color rgb="FF595959"/>
        <rFont val="WenQuanYi Zen Hei"/>
        <family val="2"/>
      </rPr>
      <t xml:space="preserve">元データ</t>
    </r>
    <r>
      <rPr>
        <sz val="9"/>
        <color rgb="FF595959"/>
        <rFont val="Arial"/>
        <family val="0"/>
        <charset val="1"/>
      </rPr>
      <t xml:space="preserve">_</t>
    </r>
    <r>
      <rPr>
        <sz val="9"/>
        <color rgb="FF595959"/>
        <rFont val="WenQuanYi Zen Hei"/>
        <family val="2"/>
      </rPr>
      <t xml:space="preserve">審査員コメント シートに全文収録。セルのコメント（赤い三角）に、その審査員のどの発言がこの観点に効いているかを記載している。</t>
    </r>
  </si>
  <si>
    <t xml:space="preserve">採点シート</t>
  </si>
  <si>
    <r>
      <rPr>
        <sz val="9"/>
        <color rgb="FF595959"/>
        <rFont val="WenQuanYi Zen Hei"/>
        <family val="2"/>
      </rPr>
      <t xml:space="preserve">青字のセルだけ入力する（観点レベル </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5</t>
    </r>
    <r>
      <rPr>
        <sz val="9"/>
        <color rgb="FF595959"/>
        <rFont val="WenQuanYi Zen Hei"/>
        <family val="2"/>
      </rPr>
      <t xml:space="preserve">、前提フラグ ○）。加重得点・総合点・判定・順位は自動計算。配点は</t>
    </r>
    <r>
      <rPr>
        <sz val="9"/>
        <color rgb="FF595959"/>
        <rFont val="Arial"/>
        <family val="0"/>
        <charset val="1"/>
      </rPr>
      <t xml:space="preserve">5</t>
    </r>
    <r>
      <rPr>
        <sz val="9"/>
        <color rgb="FF595959"/>
        <rFont val="WenQuanYi Zen Hei"/>
        <family val="2"/>
      </rPr>
      <t xml:space="preserve">行目に置いてあり、変更すれば全行に反映される。</t>
    </r>
  </si>
  <si>
    <t xml:space="preserve">部門名</t>
  </si>
  <si>
    <t xml:space="preserve">部門長</t>
  </si>
  <si>
    <r>
      <rPr>
        <b val="true"/>
        <sz val="10"/>
        <color rgb="FFFFFFFF"/>
        <rFont val="Arial"/>
        <family val="0"/>
        <charset val="1"/>
      </rPr>
      <t xml:space="preserve">C1
</t>
    </r>
    <r>
      <rPr>
        <b val="true"/>
        <sz val="10"/>
        <color rgb="FFFFFFFF"/>
        <rFont val="WenQuanYi Zen Hei"/>
        <family val="2"/>
      </rPr>
      <t xml:space="preserve">業務再設計
レベル</t>
    </r>
    <r>
      <rPr>
        <b val="true"/>
        <sz val="10"/>
        <color rgb="FFFFFFFF"/>
        <rFont val="Arial"/>
        <family val="0"/>
        <charset val="1"/>
      </rPr>
      <t xml:space="preserve">1-5</t>
    </r>
  </si>
  <si>
    <r>
      <rPr>
        <b val="true"/>
        <sz val="10"/>
        <color rgb="FFFFFFFF"/>
        <rFont val="Arial"/>
        <family val="0"/>
        <charset val="1"/>
      </rPr>
      <t xml:space="preserve">C2
</t>
    </r>
    <r>
      <rPr>
        <b val="true"/>
        <sz val="10"/>
        <color rgb="FFFFFFFF"/>
        <rFont val="WenQuanYi Zen Hei"/>
        <family val="2"/>
      </rPr>
      <t xml:space="preserve">組織浸透
レベル</t>
    </r>
    <r>
      <rPr>
        <b val="true"/>
        <sz val="10"/>
        <color rgb="FFFFFFFF"/>
        <rFont val="Arial"/>
        <family val="0"/>
        <charset val="1"/>
      </rPr>
      <t xml:space="preserve">1-5</t>
    </r>
  </si>
  <si>
    <r>
      <rPr>
        <b val="true"/>
        <sz val="10"/>
        <color rgb="FFFFFFFF"/>
        <rFont val="Arial"/>
        <family val="0"/>
        <charset val="1"/>
      </rPr>
      <t xml:space="preserve">C3
</t>
    </r>
    <r>
      <rPr>
        <b val="true"/>
        <sz val="10"/>
        <color rgb="FFFFFFFF"/>
        <rFont val="WenQuanYi Zen Hei"/>
        <family val="2"/>
      </rPr>
      <t xml:space="preserve">仕組み化・資産化
レベル</t>
    </r>
    <r>
      <rPr>
        <b val="true"/>
        <sz val="10"/>
        <color rgb="FFFFFFFF"/>
        <rFont val="Arial"/>
        <family val="0"/>
        <charset val="1"/>
      </rPr>
      <t xml:space="preserve">1-5</t>
    </r>
  </si>
  <si>
    <r>
      <rPr>
        <b val="true"/>
        <sz val="10"/>
        <color rgb="FFFFFFFF"/>
        <rFont val="Arial"/>
        <family val="0"/>
        <charset val="1"/>
      </rPr>
      <t xml:space="preserve">C4
</t>
    </r>
    <r>
      <rPr>
        <b val="true"/>
        <sz val="10"/>
        <color rgb="FFFFFFFF"/>
        <rFont val="WenQuanYi Zen Hei"/>
        <family val="2"/>
      </rPr>
      <t xml:space="preserve">波及と視座
レベル</t>
    </r>
    <r>
      <rPr>
        <b val="true"/>
        <sz val="10"/>
        <color rgb="FFFFFFFF"/>
        <rFont val="Arial"/>
        <family val="0"/>
        <charset val="1"/>
      </rPr>
      <t xml:space="preserve">1-5</t>
    </r>
  </si>
  <si>
    <r>
      <rPr>
        <b val="true"/>
        <sz val="10"/>
        <color rgb="FFFFFFFF"/>
        <rFont val="Arial"/>
        <family val="0"/>
        <charset val="1"/>
      </rPr>
      <t xml:space="preserve">C5
</t>
    </r>
    <r>
      <rPr>
        <b val="true"/>
        <sz val="10"/>
        <color rgb="FFFFFFFF"/>
        <rFont val="WenQuanYi Zen Hei"/>
        <family val="2"/>
      </rPr>
      <t xml:space="preserve">価値と再投資
レベル</t>
    </r>
    <r>
      <rPr>
        <b val="true"/>
        <sz val="10"/>
        <color rgb="FFFFFFFF"/>
        <rFont val="Arial"/>
        <family val="0"/>
        <charset val="1"/>
      </rPr>
      <t xml:space="preserve">1-5</t>
    </r>
  </si>
  <si>
    <r>
      <rPr>
        <b val="true"/>
        <sz val="10"/>
        <color rgb="FFFFFFFF"/>
        <rFont val="Arial"/>
        <family val="0"/>
        <charset val="1"/>
      </rPr>
      <t xml:space="preserve">C6
</t>
    </r>
    <r>
      <rPr>
        <b val="true"/>
        <sz val="10"/>
        <color rgb="FFFFFFFF"/>
        <rFont val="WenQuanYi Zen Hei"/>
        <family val="2"/>
      </rPr>
      <t xml:space="preserve">当事者性と熱量
レベル</t>
    </r>
    <r>
      <rPr>
        <b val="true"/>
        <sz val="10"/>
        <color rgb="FFFFFFFF"/>
        <rFont val="Arial"/>
        <family val="0"/>
        <charset val="1"/>
      </rPr>
      <t xml:space="preserve">1-5</t>
    </r>
  </si>
  <si>
    <r>
      <rPr>
        <b val="true"/>
        <sz val="10"/>
        <color rgb="FFFFFFFF"/>
        <rFont val="Arial"/>
        <family val="0"/>
        <charset val="1"/>
      </rPr>
      <t xml:space="preserve">C1
</t>
    </r>
    <r>
      <rPr>
        <b val="true"/>
        <sz val="10"/>
        <color rgb="FFFFFFFF"/>
        <rFont val="WenQuanYi Zen Hei"/>
        <family val="2"/>
      </rPr>
      <t xml:space="preserve">加重</t>
    </r>
  </si>
  <si>
    <r>
      <rPr>
        <b val="true"/>
        <sz val="10"/>
        <color rgb="FFFFFFFF"/>
        <rFont val="Arial"/>
        <family val="0"/>
        <charset val="1"/>
      </rPr>
      <t xml:space="preserve">C2
</t>
    </r>
    <r>
      <rPr>
        <b val="true"/>
        <sz val="10"/>
        <color rgb="FFFFFFFF"/>
        <rFont val="WenQuanYi Zen Hei"/>
        <family val="2"/>
      </rPr>
      <t xml:space="preserve">加重</t>
    </r>
  </si>
  <si>
    <r>
      <rPr>
        <b val="true"/>
        <sz val="10"/>
        <color rgb="FFFFFFFF"/>
        <rFont val="Arial"/>
        <family val="0"/>
        <charset val="1"/>
      </rPr>
      <t xml:space="preserve">C3
</t>
    </r>
    <r>
      <rPr>
        <b val="true"/>
        <sz val="10"/>
        <color rgb="FFFFFFFF"/>
        <rFont val="WenQuanYi Zen Hei"/>
        <family val="2"/>
      </rPr>
      <t xml:space="preserve">加重</t>
    </r>
  </si>
  <si>
    <r>
      <rPr>
        <b val="true"/>
        <sz val="10"/>
        <color rgb="FFFFFFFF"/>
        <rFont val="Arial"/>
        <family val="0"/>
        <charset val="1"/>
      </rPr>
      <t xml:space="preserve">C4
</t>
    </r>
    <r>
      <rPr>
        <b val="true"/>
        <sz val="10"/>
        <color rgb="FFFFFFFF"/>
        <rFont val="WenQuanYi Zen Hei"/>
        <family val="2"/>
      </rPr>
      <t xml:space="preserve">加重</t>
    </r>
  </si>
  <si>
    <r>
      <rPr>
        <b val="true"/>
        <sz val="10"/>
        <color rgb="FFFFFFFF"/>
        <rFont val="Arial"/>
        <family val="0"/>
        <charset val="1"/>
      </rPr>
      <t xml:space="preserve">C5
</t>
    </r>
    <r>
      <rPr>
        <b val="true"/>
        <sz val="10"/>
        <color rgb="FFFFFFFF"/>
        <rFont val="WenQuanYi Zen Hei"/>
        <family val="2"/>
      </rPr>
      <t xml:space="preserve">加重</t>
    </r>
  </si>
  <si>
    <r>
      <rPr>
        <b val="true"/>
        <sz val="10"/>
        <color rgb="FFFFFFFF"/>
        <rFont val="Arial"/>
        <family val="0"/>
        <charset val="1"/>
      </rPr>
      <t xml:space="preserve">C6
</t>
    </r>
    <r>
      <rPr>
        <b val="true"/>
        <sz val="10"/>
        <color rgb="FFFFFFFF"/>
        <rFont val="WenQuanYi Zen Hei"/>
        <family val="2"/>
      </rPr>
      <t xml:space="preserve">加重</t>
    </r>
  </si>
  <si>
    <r>
      <rPr>
        <b val="true"/>
        <sz val="10"/>
        <color rgb="FFFFFFFF"/>
        <rFont val="WenQuanYi Zen Hei"/>
        <family val="2"/>
      </rPr>
      <t xml:space="preserve">総合点
</t>
    </r>
    <r>
      <rPr>
        <b val="true"/>
        <sz val="10"/>
        <color rgb="FFFFFFFF"/>
        <rFont val="Arial"/>
        <family val="0"/>
        <charset val="1"/>
      </rPr>
      <t xml:space="preserve">(100)</t>
    </r>
  </si>
  <si>
    <t xml:space="preserve">判定</t>
  </si>
  <si>
    <t xml:space="preserve">順位</t>
  </si>
  <si>
    <r>
      <rPr>
        <b val="true"/>
        <sz val="10"/>
        <color rgb="FFFFFFFF"/>
        <rFont val="Arial"/>
        <family val="0"/>
        <charset val="1"/>
      </rPr>
      <t xml:space="preserve">F1
</t>
    </r>
    <r>
      <rPr>
        <b val="true"/>
        <sz val="10"/>
        <color rgb="FFFFFFFF"/>
        <rFont val="WenQuanYi Zen Hei"/>
        <family val="2"/>
      </rPr>
      <t xml:space="preserve">生産性向上の数値のみ</t>
    </r>
  </si>
  <si>
    <r>
      <rPr>
        <b val="true"/>
        <sz val="10"/>
        <color rgb="FFFFFFFF"/>
        <rFont val="Arial"/>
        <family val="0"/>
        <charset val="1"/>
      </rPr>
      <t xml:space="preserve">F2
</t>
    </r>
    <r>
      <rPr>
        <b val="true"/>
        <sz val="10"/>
        <color rgb="FFFFFFFF"/>
        <rFont val="WenQuanYi Zen Hei"/>
        <family val="2"/>
      </rPr>
      <t xml:space="preserve">特定個人</t>
    </r>
    <r>
      <rPr>
        <b val="true"/>
        <sz val="10"/>
        <color rgb="FFFFFFFF"/>
        <rFont val="Arial"/>
        <family val="0"/>
        <charset val="1"/>
      </rPr>
      <t xml:space="preserve">1</t>
    </r>
    <r>
      <rPr>
        <b val="true"/>
        <sz val="10"/>
        <color rgb="FFFFFFFF"/>
        <rFont val="WenQuanYi Zen Hei"/>
        <family val="2"/>
      </rPr>
      <t xml:space="preserve">名の成果</t>
    </r>
  </si>
  <si>
    <r>
      <rPr>
        <b val="true"/>
        <sz val="10"/>
        <color rgb="FFFFFFFF"/>
        <rFont val="Arial"/>
        <family val="0"/>
        <charset val="1"/>
      </rPr>
      <t xml:space="preserve">F3
</t>
    </r>
    <r>
      <rPr>
        <b val="true"/>
        <sz val="10"/>
        <color rgb="FFFFFFFF"/>
        <rFont val="WenQuanYi Zen Hei"/>
        <family val="2"/>
      </rPr>
      <t xml:space="preserve">ツール導入・</t>
    </r>
    <r>
      <rPr>
        <b val="true"/>
        <sz val="10"/>
        <color rgb="FFFFFFFF"/>
        <rFont val="Arial"/>
        <family val="0"/>
        <charset val="1"/>
      </rPr>
      <t xml:space="preserve">PoC</t>
    </r>
    <r>
      <rPr>
        <b val="true"/>
        <sz val="10"/>
        <color rgb="FFFFFFFF"/>
        <rFont val="WenQuanYi Zen Hei"/>
        <family val="2"/>
      </rPr>
      <t xml:space="preserve">止まり</t>
    </r>
  </si>
  <si>
    <r>
      <rPr>
        <b val="true"/>
        <sz val="10"/>
        <color rgb="FFFFFFFF"/>
        <rFont val="Arial"/>
        <family val="0"/>
        <charset val="1"/>
      </rPr>
      <t xml:space="preserve">F4
</t>
    </r>
    <r>
      <rPr>
        <b val="true"/>
        <sz val="10"/>
        <color rgb="FFFFFFFF"/>
        <rFont val="WenQuanYi Zen Hei"/>
        <family val="2"/>
      </rPr>
      <t xml:space="preserve">本人の言葉でない</t>
    </r>
  </si>
  <si>
    <t xml:space="preserve">上限チェック</t>
  </si>
  <si>
    <r>
      <rPr>
        <b val="true"/>
        <sz val="10"/>
        <color rgb="FFFFFFFF"/>
        <rFont val="Arial"/>
        <family val="0"/>
        <charset val="1"/>
      </rPr>
      <t xml:space="preserve">AI</t>
    </r>
    <r>
      <rPr>
        <b val="true"/>
        <sz val="10"/>
        <color rgb="FFFFFFFF"/>
        <rFont val="WenQuanYi Zen Hei"/>
        <family val="2"/>
      </rPr>
      <t xml:space="preserve">所見（要約）</t>
    </r>
  </si>
  <si>
    <t xml:space="preserve">人手審査へ</t>
  </si>
  <si>
    <t xml:space="preserve">配点 →</t>
  </si>
  <si>
    <r>
      <rPr>
        <sz val="9"/>
        <color rgb="FF595959"/>
        <rFont val="WenQuanYi Zen Hei"/>
        <family val="2"/>
      </rPr>
      <t xml:space="preserve">↑ 配点（合計</t>
    </r>
    <r>
      <rPr>
        <sz val="9"/>
        <color rgb="FF595959"/>
        <rFont val="Arial"/>
        <family val="0"/>
        <charset val="1"/>
      </rPr>
      <t xml:space="preserve">100</t>
    </r>
    <r>
      <rPr>
        <sz val="9"/>
        <color rgb="FF595959"/>
        <rFont val="WenQuanYi Zen Hei"/>
        <family val="2"/>
      </rPr>
      <t xml:space="preserve">）。ここを直せば全行の加重得点が変わる。</t>
    </r>
  </si>
  <si>
    <t xml:space="preserve">例</t>
  </si>
  <si>
    <r>
      <rPr>
        <i val="true"/>
        <sz val="10"/>
        <color rgb="FF808080"/>
        <rFont val="WenQuanYi Zen Hei"/>
        <family val="2"/>
      </rPr>
      <t xml:space="preserve">（記入例）</t>
    </r>
    <r>
      <rPr>
        <i val="true"/>
        <sz val="10"/>
        <color rgb="FF808080"/>
        <rFont val="Arial"/>
        <family val="0"/>
        <charset val="1"/>
      </rPr>
      <t xml:space="preserve">AIX</t>
    </r>
    <r>
      <rPr>
        <i val="true"/>
        <sz val="10"/>
        <color rgb="FF808080"/>
        <rFont val="WenQuanYi Zen Hei"/>
        <family val="2"/>
      </rPr>
      <t xml:space="preserve">事業本部</t>
    </r>
  </si>
  <si>
    <t xml:space="preserve">山田 太郎</t>
  </si>
  <si>
    <t xml:space="preserve">—</t>
  </si>
  <si>
    <r>
      <rPr>
        <i val="true"/>
        <sz val="10"/>
        <color rgb="FF808080"/>
        <rFont val="WenQuanYi Zen Hei"/>
        <family val="2"/>
      </rPr>
      <t xml:space="preserve">全員参加率</t>
    </r>
    <r>
      <rPr>
        <i val="true"/>
        <sz val="10"/>
        <color rgb="FF808080"/>
        <rFont val="Arial"/>
        <family val="0"/>
        <charset val="1"/>
      </rPr>
      <t xml:space="preserve">92%</t>
    </r>
    <r>
      <rPr>
        <i val="true"/>
        <sz val="10"/>
        <color rgb="FF808080"/>
        <rFont val="WenQuanYi Zen Hei"/>
        <family val="2"/>
      </rPr>
      <t xml:space="preserve">を数値提示。請求書突合を廃止。他部門展開は</t>
    </r>
    <r>
      <rPr>
        <i val="true"/>
        <sz val="10"/>
        <color rgb="FF808080"/>
        <rFont val="Arial"/>
        <family val="0"/>
        <charset val="1"/>
      </rPr>
      <t xml:space="preserve">2</t>
    </r>
    <r>
      <rPr>
        <i val="true"/>
        <sz val="10"/>
        <color rgb="FF808080"/>
        <rFont val="WenQuanYi Zen Hei"/>
        <family val="2"/>
      </rPr>
      <t xml:space="preserve">部門で実績あり、全社資産化は未着手。</t>
    </r>
  </si>
  <si>
    <t xml:space="preserve">要</t>
  </si>
  <si>
    <r>
      <rPr>
        <sz val="9"/>
        <color rgb="FF595959"/>
        <rFont val="WenQuanYi Zen Hei"/>
        <family val="2"/>
      </rPr>
      <t xml:space="preserve">【入力するセル】青字の列のみ： 部門名・部門長 ／ </t>
    </r>
    <r>
      <rPr>
        <sz val="9"/>
        <color rgb="FF595959"/>
        <rFont val="Arial"/>
        <family val="0"/>
        <charset val="1"/>
      </rPr>
      <t xml:space="preserve">D</t>
    </r>
    <r>
      <rPr>
        <sz val="9"/>
        <color rgb="FF595959"/>
        <rFont val="WenQuanYi Zen Hei"/>
        <family val="2"/>
      </rPr>
      <t xml:space="preserve">〜</t>
    </r>
    <r>
      <rPr>
        <sz val="9"/>
        <color rgb="FF595959"/>
        <rFont val="Arial"/>
        <family val="0"/>
        <charset val="1"/>
      </rPr>
      <t xml:space="preserve">I</t>
    </r>
    <r>
      <rPr>
        <sz val="9"/>
        <color rgb="FF595959"/>
        <rFont val="WenQuanYi Zen Hei"/>
        <family val="2"/>
      </rPr>
      <t xml:space="preserve">（観点レベル </t>
    </r>
    <r>
      <rPr>
        <sz val="9"/>
        <color rgb="FF595959"/>
        <rFont val="Arial"/>
        <family val="0"/>
        <charset val="1"/>
      </rPr>
      <t xml:space="preserve">1</t>
    </r>
    <r>
      <rPr>
        <sz val="9"/>
        <color rgb="FF595959"/>
        <rFont val="WenQuanYi Zen Hei"/>
        <family val="2"/>
      </rPr>
      <t xml:space="preserve">〜</t>
    </r>
    <r>
      <rPr>
        <sz val="9"/>
        <color rgb="FF595959"/>
        <rFont val="Arial"/>
        <family val="0"/>
        <charset val="1"/>
      </rPr>
      <t xml:space="preserve">5</t>
    </r>
    <r>
      <rPr>
        <sz val="9"/>
        <color rgb="FF595959"/>
        <rFont val="WenQuanYi Zen Hei"/>
        <family val="2"/>
      </rPr>
      <t xml:space="preserve">） ／ </t>
    </r>
    <r>
      <rPr>
        <sz val="9"/>
        <color rgb="FF595959"/>
        <rFont val="Arial"/>
        <family val="0"/>
        <charset val="1"/>
      </rPr>
      <t xml:space="preserve">S</t>
    </r>
    <r>
      <rPr>
        <sz val="9"/>
        <color rgb="FF595959"/>
        <rFont val="WenQuanYi Zen Hei"/>
        <family val="2"/>
      </rPr>
      <t xml:space="preserve">〜</t>
    </r>
    <r>
      <rPr>
        <sz val="9"/>
        <color rgb="FF595959"/>
        <rFont val="Arial"/>
        <family val="0"/>
        <charset val="1"/>
      </rPr>
      <t xml:space="preserve">V</t>
    </r>
    <r>
      <rPr>
        <sz val="9"/>
        <color rgb="FF595959"/>
        <rFont val="WenQuanYi Zen Hei"/>
        <family val="2"/>
      </rPr>
      <t xml:space="preserve">（前提フラグ、該当時に ○） ／ </t>
    </r>
    <r>
      <rPr>
        <sz val="9"/>
        <color rgb="FF595959"/>
        <rFont val="Arial"/>
        <family val="0"/>
        <charset val="1"/>
      </rPr>
      <t xml:space="preserve">X</t>
    </r>
    <r>
      <rPr>
        <sz val="9"/>
        <color rgb="FF595959"/>
        <rFont val="WenQuanYi Zen Hei"/>
        <family val="2"/>
      </rPr>
      <t xml:space="preserve">（</t>
    </r>
    <r>
      <rPr>
        <sz val="9"/>
        <color rgb="FF595959"/>
        <rFont val="Arial"/>
        <family val="0"/>
        <charset val="1"/>
      </rPr>
      <t xml:space="preserve">AI</t>
    </r>
    <r>
      <rPr>
        <sz val="9"/>
        <color rgb="FF595959"/>
        <rFont val="WenQuanYi Zen Hei"/>
        <family val="2"/>
      </rPr>
      <t xml:space="preserve">所見） ／ </t>
    </r>
    <r>
      <rPr>
        <sz val="9"/>
        <color rgb="FF595959"/>
        <rFont val="Arial"/>
        <family val="0"/>
        <charset val="1"/>
      </rPr>
      <t xml:space="preserve">Y</t>
    </r>
    <r>
      <rPr>
        <sz val="9"/>
        <color rgb="FF595959"/>
        <rFont val="WenQuanYi Zen Hei"/>
        <family val="2"/>
      </rPr>
      <t xml:space="preserve">（人手審査へ 要</t>
    </r>
    <r>
      <rPr>
        <sz val="9"/>
        <color rgb="FF595959"/>
        <rFont val="Arial"/>
        <family val="0"/>
        <charset val="1"/>
      </rPr>
      <t xml:space="preserve">/</t>
    </r>
    <r>
      <rPr>
        <sz val="9"/>
        <color rgb="FF595959"/>
        <rFont val="WenQuanYi Zen Hei"/>
        <family val="2"/>
      </rPr>
      <t xml:space="preserve">不要）。　黒字の列（</t>
    </r>
    <r>
      <rPr>
        <sz val="9"/>
        <color rgb="FF595959"/>
        <rFont val="Arial"/>
        <family val="0"/>
        <charset val="1"/>
      </rPr>
      <t xml:space="preserve">J</t>
    </r>
    <r>
      <rPr>
        <sz val="9"/>
        <color rgb="FF595959"/>
        <rFont val="WenQuanYi Zen Hei"/>
        <family val="2"/>
      </rPr>
      <t xml:space="preserve">〜</t>
    </r>
    <r>
      <rPr>
        <sz val="9"/>
        <color rgb="FF595959"/>
        <rFont val="Arial"/>
        <family val="0"/>
        <charset val="1"/>
      </rPr>
      <t xml:space="preserve">R, W</t>
    </r>
    <r>
      <rPr>
        <sz val="9"/>
        <color rgb="FF595959"/>
        <rFont val="WenQuanYi Zen Hei"/>
        <family val="2"/>
      </rPr>
      <t xml:space="preserve">）は自動計算のため触らない。</t>
    </r>
    <r>
      <rPr>
        <sz val="9"/>
        <color rgb="FF595959"/>
        <rFont val="Arial"/>
        <family val="0"/>
        <charset val="1"/>
      </rPr>
      <t xml:space="preserve">6</t>
    </r>
    <r>
      <rPr>
        <sz val="9"/>
        <color rgb="FF595959"/>
        <rFont val="WenQuanYi Zen Hei"/>
        <family val="2"/>
      </rPr>
      <t xml:space="preserve">行目は記入例なので集計・順位から除外してある。</t>
    </r>
  </si>
  <si>
    <t xml:space="preserve">集計</t>
  </si>
  <si>
    <t xml:space="preserve">応募件数</t>
  </si>
  <si>
    <t xml:space="preserve">平均点</t>
  </si>
  <si>
    <t xml:space="preserve">最高点</t>
  </si>
  <si>
    <r>
      <rPr>
        <b val="true"/>
        <sz val="10"/>
        <rFont val="Arial"/>
        <family val="0"/>
        <charset val="1"/>
      </rPr>
      <t xml:space="preserve">S </t>
    </r>
    <r>
      <rPr>
        <b val="true"/>
        <sz val="10"/>
        <rFont val="WenQuanYi Zen Hei"/>
        <family val="2"/>
      </rPr>
      <t xml:space="preserve">判定</t>
    </r>
  </si>
  <si>
    <r>
      <rPr>
        <b val="true"/>
        <sz val="10"/>
        <rFont val="Arial"/>
        <family val="0"/>
        <charset val="1"/>
      </rPr>
      <t xml:space="preserve">A </t>
    </r>
    <r>
      <rPr>
        <b val="true"/>
        <sz val="10"/>
        <rFont val="WenQuanYi Zen Hei"/>
        <family val="2"/>
      </rPr>
      <t xml:space="preserve">判定</t>
    </r>
  </si>
  <si>
    <r>
      <rPr>
        <b val="true"/>
        <sz val="10"/>
        <rFont val="Arial"/>
        <family val="0"/>
        <charset val="1"/>
      </rPr>
      <t xml:space="preserve">B </t>
    </r>
    <r>
      <rPr>
        <b val="true"/>
        <sz val="10"/>
        <rFont val="WenQuanYi Zen Hei"/>
        <family val="2"/>
      </rPr>
      <t xml:space="preserve">判定</t>
    </r>
  </si>
  <si>
    <r>
      <rPr>
        <b val="true"/>
        <sz val="10"/>
        <rFont val="Arial"/>
        <family val="0"/>
        <charset val="1"/>
      </rPr>
      <t xml:space="preserve">C </t>
    </r>
    <r>
      <rPr>
        <b val="true"/>
        <sz val="10"/>
        <rFont val="WenQuanYi Zen Hei"/>
        <family val="2"/>
      </rPr>
      <t xml:space="preserve">判定</t>
    </r>
  </si>
  <si>
    <t xml:space="preserve">上限超過あり</t>
  </si>
  <si>
    <t xml:space="preserve">判定バンド・前提フラグ・タイブレーク</t>
  </si>
  <si>
    <r>
      <rPr>
        <b val="true"/>
        <sz val="12"/>
        <color rgb="FF1F3864"/>
        <rFont val="Arial"/>
        <family val="0"/>
        <charset val="1"/>
      </rPr>
      <t xml:space="preserve">1. </t>
    </r>
    <r>
      <rPr>
        <b val="true"/>
        <sz val="12"/>
        <color rgb="FF1F3864"/>
        <rFont val="WenQuanYi Zen Hei"/>
        <family val="2"/>
      </rPr>
      <t xml:space="preserve">総合判定バンド</t>
    </r>
  </si>
  <si>
    <t xml:space="preserve">総合点</t>
  </si>
  <si>
    <t xml:space="preserve">予備審査での扱い</t>
  </si>
  <si>
    <t xml:space="preserve">S</t>
  </si>
  <si>
    <r>
      <rPr>
        <sz val="10"/>
        <rFont val="Arial"/>
        <family val="0"/>
        <charset val="1"/>
      </rPr>
      <t xml:space="preserve">80 </t>
    </r>
    <r>
      <rPr>
        <sz val="10"/>
        <rFont val="WenQuanYi Zen Hei"/>
        <family val="2"/>
      </rPr>
      <t xml:space="preserve">点以上</t>
    </r>
  </si>
  <si>
    <r>
      <rPr>
        <sz val="10"/>
        <rFont val="WenQuanYi Zen Hei"/>
        <family val="2"/>
      </rPr>
      <t xml:space="preserve">グランドフィナーレ最有力。</t>
    </r>
    <r>
      <rPr>
        <sz val="10"/>
        <rFont val="Arial"/>
        <family val="0"/>
        <charset val="1"/>
      </rPr>
      <t xml:space="preserve">6</t>
    </r>
    <r>
      <rPr>
        <sz val="10"/>
        <rFont val="WenQuanYi Zen Hei"/>
        <family val="2"/>
      </rPr>
      <t xml:space="preserve">観点のいずれにも穴がない。</t>
    </r>
  </si>
  <si>
    <t xml:space="preserve">A</t>
  </si>
  <si>
    <r>
      <rPr>
        <sz val="10"/>
        <rFont val="Arial"/>
        <family val="0"/>
        <charset val="1"/>
      </rPr>
      <t xml:space="preserve">65 </t>
    </r>
    <r>
      <rPr>
        <sz val="10"/>
        <rFont val="WenQuanYi Zen Hei"/>
        <family val="2"/>
      </rPr>
      <t xml:space="preserve">点以上</t>
    </r>
  </si>
  <si>
    <t xml:space="preserve">通過候補。人手審査へ回す。</t>
  </si>
  <si>
    <t xml:space="preserve">B</t>
  </si>
  <si>
    <r>
      <rPr>
        <sz val="10"/>
        <rFont val="Arial"/>
        <family val="0"/>
        <charset val="1"/>
      </rPr>
      <t xml:space="preserve">50 </t>
    </r>
    <r>
      <rPr>
        <sz val="10"/>
        <rFont val="WenQuanYi Zen Hei"/>
        <family val="2"/>
      </rPr>
      <t xml:space="preserve">点以上</t>
    </r>
  </si>
  <si>
    <t xml:space="preserve">要議論。強い観点があれば人手審査で拾い上げる。</t>
  </si>
  <si>
    <t xml:space="preserve">C</t>
  </si>
  <si>
    <r>
      <rPr>
        <sz val="10"/>
        <rFont val="Arial"/>
        <family val="0"/>
        <charset val="1"/>
      </rPr>
      <t xml:space="preserve">50 </t>
    </r>
    <r>
      <rPr>
        <sz val="10"/>
        <rFont val="WenQuanYi Zen Hei"/>
        <family val="2"/>
      </rPr>
      <t xml:space="preserve">点未満</t>
    </r>
  </si>
  <si>
    <t xml:space="preserve">予備審査で見送り。</t>
  </si>
  <si>
    <r>
      <rPr>
        <b val="true"/>
        <sz val="12"/>
        <color rgb="FF1F3864"/>
        <rFont val="Arial"/>
        <family val="0"/>
        <charset val="1"/>
      </rPr>
      <t xml:space="preserve">2. </t>
    </r>
    <r>
      <rPr>
        <b val="true"/>
        <sz val="12"/>
        <color rgb="FF1F3864"/>
        <rFont val="WenQuanYi Zen Hei"/>
        <family val="2"/>
      </rPr>
      <t xml:space="preserve">前提フラグ（加点ではなく、該当観点にレベル上限をかける）</t>
    </r>
  </si>
  <si>
    <r>
      <rPr>
        <b val="true"/>
        <sz val="10"/>
        <color rgb="FFFFFFFF"/>
        <rFont val="Arial"/>
        <family val="0"/>
        <charset val="1"/>
      </rPr>
      <t xml:space="preserve">ID / </t>
    </r>
    <r>
      <rPr>
        <b val="true"/>
        <sz val="10"/>
        <color rgb="FFFFFFFF"/>
        <rFont val="WenQuanYi Zen Hei"/>
        <family val="2"/>
      </rPr>
      <t xml:space="preserve">名称</t>
    </r>
  </si>
  <si>
    <t xml:space="preserve">どう見分けるか</t>
  </si>
  <si>
    <t xml:space="preserve">かかる上限</t>
  </si>
  <si>
    <t xml:space="preserve">根拠となった審査員の言葉</t>
  </si>
  <si>
    <r>
      <rPr>
        <b val="true"/>
        <sz val="10"/>
        <rFont val="Arial"/>
        <family val="0"/>
        <charset val="1"/>
      </rPr>
      <t xml:space="preserve">F1  </t>
    </r>
    <r>
      <rPr>
        <b val="true"/>
        <sz val="10"/>
        <rFont val="WenQuanYi Zen Hei"/>
        <family val="2"/>
      </rPr>
      <t xml:space="preserve">生産性向上の数値のみ</t>
    </r>
  </si>
  <si>
    <t xml:space="preserve">時短・削減の数値は並ぶが、文化・浸透・参加率に関する記述がない。</t>
  </si>
  <si>
    <r>
      <rPr>
        <sz val="10"/>
        <rFont val="Arial"/>
        <family val="0"/>
        <charset val="1"/>
      </rPr>
      <t xml:space="preserve">C2 </t>
    </r>
    <r>
      <rPr>
        <sz val="10"/>
        <rFont val="WenQuanYi Zen Hei"/>
        <family val="2"/>
      </rPr>
      <t xml:space="preserve">組織浸透 はレベル </t>
    </r>
    <r>
      <rPr>
        <sz val="10"/>
        <rFont val="Arial"/>
        <family val="0"/>
        <charset val="1"/>
      </rPr>
      <t xml:space="preserve">3 </t>
    </r>
    <r>
      <rPr>
        <sz val="10"/>
        <rFont val="WenQuanYi Zen Hei"/>
        <family val="2"/>
      </rPr>
      <t xml:space="preserve">以下</t>
    </r>
  </si>
  <si>
    <r>
      <rPr>
        <sz val="9"/>
        <color rgb="FF595959"/>
        <rFont val="WenQuanYi Zen Hei"/>
        <family val="2"/>
      </rPr>
      <t xml:space="preserve">櫻田 浩：生産性向上につながる活用は重要だが、それは企業として取り組むべき前提。／ 中山 高史：何を</t>
    </r>
    <r>
      <rPr>
        <sz val="9"/>
        <color rgb="FF595959"/>
        <rFont val="Arial"/>
        <family val="0"/>
        <charset val="1"/>
      </rPr>
      <t xml:space="preserve">AI</t>
    </r>
    <r>
      <rPr>
        <sz val="9"/>
        <color rgb="FF595959"/>
        <rFont val="WenQuanYi Zen Hei"/>
        <family val="2"/>
      </rPr>
      <t xml:space="preserve">で実現したかよりも、部門にどのような文化を醸成できたか。</t>
    </r>
  </si>
  <si>
    <r>
      <rPr>
        <b val="true"/>
        <sz val="10"/>
        <rFont val="Arial"/>
        <family val="0"/>
        <charset val="1"/>
      </rPr>
      <t xml:space="preserve">F2  </t>
    </r>
    <r>
      <rPr>
        <b val="true"/>
        <sz val="10"/>
        <rFont val="WenQuanYi Zen Hei"/>
        <family val="2"/>
      </rPr>
      <t xml:space="preserve">特定個人</t>
    </r>
    <r>
      <rPr>
        <b val="true"/>
        <sz val="10"/>
        <rFont val="Arial"/>
        <family val="0"/>
        <charset val="1"/>
      </rPr>
      <t xml:space="preserve">1</t>
    </r>
    <r>
      <rPr>
        <b val="true"/>
        <sz val="10"/>
        <rFont val="WenQuanYi Zen Hei"/>
        <family val="2"/>
      </rPr>
      <t xml:space="preserve">名の成果</t>
    </r>
  </si>
  <si>
    <r>
      <rPr>
        <sz val="10"/>
        <rFont val="WenQuanYi Zen Hei"/>
        <family val="2"/>
      </rPr>
      <t xml:space="preserve">登場する実行者が実質</t>
    </r>
    <r>
      <rPr>
        <sz val="10"/>
        <rFont val="Arial"/>
        <family val="0"/>
        <charset val="1"/>
      </rPr>
      <t xml:space="preserve">1</t>
    </r>
    <r>
      <rPr>
        <sz val="10"/>
        <rFont val="WenQuanYi Zen Hei"/>
        <family val="2"/>
      </rPr>
      <t xml:space="preserve">名で、部門への広がりも仕組みも語られていない。</t>
    </r>
  </si>
  <si>
    <r>
      <rPr>
        <sz val="10"/>
        <rFont val="Arial"/>
        <family val="0"/>
        <charset val="1"/>
      </rPr>
      <t xml:space="preserve">C2 </t>
    </r>
    <r>
      <rPr>
        <sz val="10"/>
        <rFont val="WenQuanYi Zen Hei"/>
        <family val="2"/>
      </rPr>
      <t xml:space="preserve">組織浸透 はレベル </t>
    </r>
    <r>
      <rPr>
        <sz val="10"/>
        <rFont val="Arial"/>
        <family val="0"/>
        <charset val="1"/>
      </rPr>
      <t xml:space="preserve">2 </t>
    </r>
    <r>
      <rPr>
        <sz val="10"/>
        <rFont val="WenQuanYi Zen Hei"/>
        <family val="2"/>
      </rPr>
      <t xml:space="preserve">以下 </t>
    </r>
    <r>
      <rPr>
        <sz val="10"/>
        <rFont val="Arial"/>
        <family val="0"/>
        <charset val="1"/>
      </rPr>
      <t xml:space="preserve">/ C3 </t>
    </r>
    <r>
      <rPr>
        <sz val="10"/>
        <rFont val="WenQuanYi Zen Hei"/>
        <family val="2"/>
      </rPr>
      <t xml:space="preserve">仕組み化・資産化 はレベル </t>
    </r>
    <r>
      <rPr>
        <sz val="10"/>
        <rFont val="Arial"/>
        <family val="0"/>
        <charset val="1"/>
      </rPr>
      <t xml:space="preserve">2 </t>
    </r>
    <r>
      <rPr>
        <sz val="10"/>
        <rFont val="WenQuanYi Zen Hei"/>
        <family val="2"/>
      </rPr>
      <t xml:space="preserve">以下</t>
    </r>
  </si>
  <si>
    <t xml:space="preserve">伊藤 裕一：特定の誰かに頼るのではなく、チーム全員を巻き込んで。／ 松尾 邦孝：個人の熱意に依存しているのか、組織として自律的に回っているのか。</t>
  </si>
  <si>
    <r>
      <rPr>
        <b val="true"/>
        <sz val="10"/>
        <rFont val="Arial"/>
        <family val="0"/>
        <charset val="1"/>
      </rPr>
      <t xml:space="preserve">F3  </t>
    </r>
    <r>
      <rPr>
        <b val="true"/>
        <sz val="10"/>
        <rFont val="WenQuanYi Zen Hei"/>
        <family val="2"/>
      </rPr>
      <t xml:space="preserve">ツール導入・</t>
    </r>
    <r>
      <rPr>
        <b val="true"/>
        <sz val="10"/>
        <rFont val="Arial"/>
        <family val="0"/>
        <charset val="1"/>
      </rPr>
      <t xml:space="preserve">PoC</t>
    </r>
    <r>
      <rPr>
        <b val="true"/>
        <sz val="10"/>
        <rFont val="WenQuanYi Zen Hei"/>
        <family val="2"/>
      </rPr>
      <t xml:space="preserve">止まり</t>
    </r>
  </si>
  <si>
    <t xml:space="preserve">導入した／試したという報告で終わり、業務そのものの変化が示されていない。</t>
  </si>
  <si>
    <r>
      <rPr>
        <sz val="10"/>
        <rFont val="Arial"/>
        <family val="0"/>
        <charset val="1"/>
      </rPr>
      <t xml:space="preserve">C1 </t>
    </r>
    <r>
      <rPr>
        <sz val="10"/>
        <rFont val="WenQuanYi Zen Hei"/>
        <family val="2"/>
      </rPr>
      <t xml:space="preserve">業務再設計 はレベル </t>
    </r>
    <r>
      <rPr>
        <sz val="10"/>
        <rFont val="Arial"/>
        <family val="0"/>
        <charset val="1"/>
      </rPr>
      <t xml:space="preserve">2 </t>
    </r>
    <r>
      <rPr>
        <sz val="10"/>
        <rFont val="WenQuanYi Zen Hei"/>
        <family val="2"/>
      </rPr>
      <t xml:space="preserve">以下</t>
    </r>
  </si>
  <si>
    <r>
      <rPr>
        <sz val="9"/>
        <color rgb="FF595959"/>
        <rFont val="WenQuanYi Zen Hei"/>
        <family val="2"/>
      </rPr>
      <t xml:space="preserve">前田 憲仁：</t>
    </r>
    <r>
      <rPr>
        <sz val="9"/>
        <color rgb="FF595959"/>
        <rFont val="Arial"/>
        <family val="0"/>
        <charset val="1"/>
      </rPr>
      <t xml:space="preserve">AI</t>
    </r>
    <r>
      <rPr>
        <sz val="9"/>
        <color rgb="FF595959"/>
        <rFont val="WenQuanYi Zen Hei"/>
        <family val="2"/>
      </rPr>
      <t xml:space="preserve">を付加的に活用するのではなく、業務プロセス自体を見直せているか。／ 中村 智之：</t>
    </r>
    <r>
      <rPr>
        <sz val="9"/>
        <color rgb="FF595959"/>
        <rFont val="Arial"/>
        <family val="0"/>
        <charset val="1"/>
      </rPr>
      <t xml:space="preserve">AI</t>
    </r>
    <r>
      <rPr>
        <sz val="9"/>
        <color rgb="FF595959"/>
        <rFont val="WenQuanYi Zen Hei"/>
        <family val="2"/>
      </rPr>
      <t xml:space="preserve">を使ったこと自体ではなく、その結果として業務や事業がどれだけ変わったか。</t>
    </r>
  </si>
  <si>
    <r>
      <rPr>
        <b val="true"/>
        <sz val="10"/>
        <rFont val="Arial"/>
        <family val="0"/>
        <charset val="1"/>
      </rPr>
      <t xml:space="preserve">F4  </t>
    </r>
    <r>
      <rPr>
        <b val="true"/>
        <sz val="10"/>
        <rFont val="WenQuanYi Zen Hei"/>
        <family val="2"/>
      </rPr>
      <t xml:space="preserve">本人の言葉でない</t>
    </r>
  </si>
  <si>
    <t xml:space="preserve">部門長本人の一人称の語りがなく、事務局資料や代理者の説明の引き写しになっている。</t>
  </si>
  <si>
    <r>
      <rPr>
        <sz val="10"/>
        <rFont val="Arial"/>
        <family val="0"/>
        <charset val="1"/>
      </rPr>
      <t xml:space="preserve">C6 </t>
    </r>
    <r>
      <rPr>
        <sz val="10"/>
        <rFont val="WenQuanYi Zen Hei"/>
        <family val="2"/>
      </rPr>
      <t xml:space="preserve">当事者性と熱量 はレベル </t>
    </r>
    <r>
      <rPr>
        <sz val="10"/>
        <rFont val="Arial"/>
        <family val="0"/>
        <charset val="1"/>
      </rPr>
      <t xml:space="preserve">2 </t>
    </r>
    <r>
      <rPr>
        <sz val="10"/>
        <rFont val="WenQuanYi Zen Hei"/>
        <family val="2"/>
      </rPr>
      <t xml:space="preserve">以下</t>
    </r>
  </si>
  <si>
    <t xml:space="preserve">上坂 貴志：取り組みを自分の言葉で語れる人が前に立っているか。／ 牧田 幸弘：自分自身の言葉で価値を語れるかどうか。</t>
  </si>
  <si>
    <r>
      <rPr>
        <sz val="9"/>
        <color rgb="FF595959"/>
        <rFont val="WenQuanYi Zen Hei"/>
        <family val="2"/>
      </rPr>
      <t xml:space="preserve">採点シートの </t>
    </r>
    <r>
      <rPr>
        <sz val="9"/>
        <color rgb="FF595959"/>
        <rFont val="Arial"/>
        <family val="0"/>
        <charset val="1"/>
      </rPr>
      <t xml:space="preserve">W</t>
    </r>
    <r>
      <rPr>
        <sz val="9"/>
        <color rgb="FF595959"/>
        <rFont val="WenQuanYi Zen Hei"/>
        <family val="2"/>
      </rPr>
      <t xml:space="preserve">列「上限チェック」が、フラグと入力レベルの矛盾を自動検出する。「上限超過」と出たら、該当観点のレベルを上限まで下げる。</t>
    </r>
  </si>
  <si>
    <r>
      <rPr>
        <b val="true"/>
        <sz val="12"/>
        <color rgb="FF1F3864"/>
        <rFont val="Arial"/>
        <family val="0"/>
        <charset val="1"/>
      </rPr>
      <t xml:space="preserve">3. </t>
    </r>
    <r>
      <rPr>
        <b val="true"/>
        <sz val="12"/>
        <color rgb="FF1F3864"/>
        <rFont val="WenQuanYi Zen Hei"/>
        <family val="2"/>
      </rPr>
      <t xml:space="preserve">同点時のタイブレーク順</t>
    </r>
  </si>
  <si>
    <r>
      <rPr>
        <b val="true"/>
        <sz val="10"/>
        <rFont val="WenQuanYi Zen Hei"/>
        <family val="2"/>
      </rPr>
      <t xml:space="preserve">第</t>
    </r>
    <r>
      <rPr>
        <b val="true"/>
        <sz val="10"/>
        <rFont val="Arial"/>
        <family val="0"/>
        <charset val="1"/>
      </rPr>
      <t xml:space="preserve">1</t>
    </r>
    <r>
      <rPr>
        <b val="true"/>
        <sz val="10"/>
        <rFont val="WenQuanYi Zen Hei"/>
        <family val="2"/>
      </rPr>
      <t xml:space="preserve">順位</t>
    </r>
  </si>
  <si>
    <r>
      <rPr>
        <sz val="10"/>
        <rFont val="Arial"/>
        <family val="0"/>
        <charset val="1"/>
      </rPr>
      <t xml:space="preserve">C2 </t>
    </r>
    <r>
      <rPr>
        <sz val="10"/>
        <rFont val="WenQuanYi Zen Hei"/>
        <family val="2"/>
      </rPr>
      <t xml:space="preserve">組織浸透 のレベルが高いほうを上位とする</t>
    </r>
  </si>
  <si>
    <r>
      <rPr>
        <b val="true"/>
        <sz val="10"/>
        <rFont val="WenQuanYi Zen Hei"/>
        <family val="2"/>
      </rPr>
      <t xml:space="preserve">第</t>
    </r>
    <r>
      <rPr>
        <b val="true"/>
        <sz val="10"/>
        <rFont val="Arial"/>
        <family val="0"/>
        <charset val="1"/>
      </rPr>
      <t xml:space="preserve">2</t>
    </r>
    <r>
      <rPr>
        <b val="true"/>
        <sz val="10"/>
        <rFont val="WenQuanYi Zen Hei"/>
        <family val="2"/>
      </rPr>
      <t xml:space="preserve">順位</t>
    </r>
  </si>
  <si>
    <r>
      <rPr>
        <sz val="10"/>
        <rFont val="Arial"/>
        <family val="0"/>
        <charset val="1"/>
      </rPr>
      <t xml:space="preserve">C4 </t>
    </r>
    <r>
      <rPr>
        <sz val="10"/>
        <rFont val="WenQuanYi Zen Hei"/>
        <family val="2"/>
      </rPr>
      <t xml:space="preserve">波及と視座 のレベルが高いほうを上位とする</t>
    </r>
  </si>
  <si>
    <r>
      <rPr>
        <b val="true"/>
        <sz val="10"/>
        <rFont val="WenQuanYi Zen Hei"/>
        <family val="2"/>
      </rPr>
      <t xml:space="preserve">第</t>
    </r>
    <r>
      <rPr>
        <b val="true"/>
        <sz val="10"/>
        <rFont val="Arial"/>
        <family val="0"/>
        <charset val="1"/>
      </rPr>
      <t xml:space="preserve">3</t>
    </r>
    <r>
      <rPr>
        <b val="true"/>
        <sz val="10"/>
        <rFont val="WenQuanYi Zen Hei"/>
        <family val="2"/>
      </rPr>
      <t xml:space="preserve">順位</t>
    </r>
  </si>
  <si>
    <r>
      <rPr>
        <sz val="10"/>
        <rFont val="Arial"/>
        <family val="0"/>
        <charset val="1"/>
      </rPr>
      <t xml:space="preserve">C1 </t>
    </r>
    <r>
      <rPr>
        <sz val="10"/>
        <rFont val="WenQuanYi Zen Hei"/>
        <family val="2"/>
      </rPr>
      <t xml:space="preserve">業務再設計 のレベルが高いほうを上位とする</t>
    </r>
  </si>
  <si>
    <r>
      <rPr>
        <b val="true"/>
        <sz val="10"/>
        <rFont val="WenQuanYi Zen Hei"/>
        <family val="2"/>
      </rPr>
      <t xml:space="preserve">第</t>
    </r>
    <r>
      <rPr>
        <b val="true"/>
        <sz val="10"/>
        <rFont val="Arial"/>
        <family val="0"/>
        <charset val="1"/>
      </rPr>
      <t xml:space="preserve">4</t>
    </r>
    <r>
      <rPr>
        <b val="true"/>
        <sz val="10"/>
        <rFont val="WenQuanYi Zen Hei"/>
        <family val="2"/>
      </rPr>
      <t xml:space="preserve">順位</t>
    </r>
  </si>
  <si>
    <r>
      <rPr>
        <sz val="10"/>
        <rFont val="Arial"/>
        <family val="0"/>
        <charset val="1"/>
      </rPr>
      <t xml:space="preserve">C6 </t>
    </r>
    <r>
      <rPr>
        <sz val="10"/>
        <rFont val="WenQuanYi Zen Hei"/>
        <family val="2"/>
      </rPr>
      <t xml:space="preserve">当事者性と熱量 のレベルが高いほうを上位とする</t>
    </r>
  </si>
  <si>
    <r>
      <rPr>
        <sz val="9"/>
        <color rgb="FF595959"/>
        <rFont val="WenQuanYi Zen Hei"/>
        <family val="2"/>
      </rPr>
      <t xml:space="preserve">配点の大きい観点（</t>
    </r>
    <r>
      <rPr>
        <sz val="9"/>
        <color rgb="FF595959"/>
        <rFont val="Arial"/>
        <family val="0"/>
        <charset val="1"/>
      </rPr>
      <t xml:space="preserve">C4→C2→C6→C1</t>
    </r>
    <r>
      <rPr>
        <sz val="9"/>
        <color rgb="FF595959"/>
        <rFont val="WenQuanYi Zen Hei"/>
        <family val="2"/>
      </rPr>
      <t xml:space="preserve">）から順に見るのが原則だが、</t>
    </r>
    <r>
      <rPr>
        <sz val="9"/>
        <color rgb="FF595959"/>
        <rFont val="Arial"/>
        <family val="0"/>
        <charset val="1"/>
      </rPr>
      <t xml:space="preserve">C6</t>
    </r>
    <r>
      <rPr>
        <sz val="9"/>
        <color rgb="FF595959"/>
        <rFont val="WenQuanYi Zen Hei"/>
        <family val="2"/>
      </rPr>
      <t xml:space="preserve">（当事者性と熱量）は当日のプレゼンで印象が変わりうるため、予備審査のタイブレークでは組織の実態を示す</t>
    </r>
    <r>
      <rPr>
        <sz val="9"/>
        <color rgb="FF595959"/>
        <rFont val="Arial"/>
        <family val="0"/>
        <charset val="1"/>
      </rPr>
      <t xml:space="preserve">C2</t>
    </r>
    <r>
      <rPr>
        <sz val="9"/>
        <color rgb="FF595959"/>
        <rFont val="WenQuanYi Zen Hei"/>
        <family val="2"/>
      </rPr>
      <t xml:space="preserve">・</t>
    </r>
    <r>
      <rPr>
        <sz val="9"/>
        <color rgb="FF595959"/>
        <rFont val="Arial"/>
        <family val="0"/>
        <charset val="1"/>
      </rPr>
      <t xml:space="preserve">C4</t>
    </r>
    <r>
      <rPr>
        <sz val="9"/>
        <color rgb="FF595959"/>
        <rFont val="WenQuanYi Zen Hei"/>
        <family val="2"/>
      </rPr>
      <t xml:space="preserve">・</t>
    </r>
    <r>
      <rPr>
        <sz val="9"/>
        <color rgb="FF595959"/>
        <rFont val="Arial"/>
        <family val="0"/>
        <charset val="1"/>
      </rPr>
      <t xml:space="preserve">C1</t>
    </r>
    <r>
      <rPr>
        <sz val="9"/>
        <color rgb="FF595959"/>
        <rFont val="WenQuanYi Zen Hei"/>
        <family val="2"/>
      </rPr>
      <t xml:space="preserve">を優先している。</t>
    </r>
  </si>
  <si>
    <r>
      <rPr>
        <b val="true"/>
        <sz val="16"/>
        <color rgb="FFFFFFFF"/>
        <rFont val="Arial"/>
        <family val="0"/>
        <charset val="1"/>
      </rPr>
      <t xml:space="preserve">AI</t>
    </r>
    <r>
      <rPr>
        <b val="true"/>
        <sz val="16"/>
        <color rgb="FFFFFFFF"/>
        <rFont val="WenQuanYi Zen Hei"/>
        <family val="2"/>
      </rPr>
      <t xml:space="preserve">予備審査プロンプト（このままコピーして使用）</t>
    </r>
  </si>
  <si>
    <r>
      <rPr>
        <sz val="9"/>
        <color rgb="FF595959"/>
        <rFont val="Arial"/>
        <family val="0"/>
        <charset val="1"/>
      </rPr>
      <t xml:space="preserve">B4</t>
    </r>
    <r>
      <rPr>
        <sz val="9"/>
        <color rgb="FF595959"/>
        <rFont val="WenQuanYi Zen Hei"/>
        <family val="2"/>
      </rPr>
      <t xml:space="preserve">セル以下がプロンプト本文。セルを選択してコピーし、</t>
    </r>
    <r>
      <rPr>
        <sz val="9"/>
        <color rgb="FF595959"/>
        <rFont val="Arial"/>
        <family val="0"/>
        <charset val="1"/>
      </rPr>
      <t xml:space="preserve">AI</t>
    </r>
    <r>
      <rPr>
        <sz val="9"/>
        <color rgb="FF595959"/>
        <rFont val="WenQuanYi Zen Hei"/>
        <family val="2"/>
      </rPr>
      <t xml:space="preserve">に貼り付けたうえで、応募資料を</t>
    </r>
    <r>
      <rPr>
        <sz val="9"/>
        <color rgb="FF595959"/>
        <rFont val="Arial"/>
        <family val="0"/>
        <charset val="1"/>
      </rPr>
      <t xml:space="preserve">1</t>
    </r>
    <r>
      <rPr>
        <sz val="9"/>
        <color rgb="FF595959"/>
        <rFont val="WenQuanYi Zen Hei"/>
        <family val="2"/>
      </rPr>
      <t xml:space="preserve">件ずつ続けて入力する。</t>
    </r>
  </si>
  <si>
    <r>
      <rPr>
        <sz val="9"/>
        <rFont val="WenQuanYi Zen Hei"/>
        <family val="2"/>
      </rPr>
      <t xml:space="preserve">あなたは </t>
    </r>
    <r>
      <rPr>
        <sz val="9"/>
        <rFont val="Consolas"/>
        <family val="0"/>
        <charset val="1"/>
      </rPr>
      <t xml:space="preserve">AIFES 2026 </t>
    </r>
    <r>
      <rPr>
        <sz val="9"/>
        <rFont val="WenQuanYi Zen Hei"/>
        <family val="2"/>
      </rPr>
      <t xml:space="preserve">グランドフィナーレの予備審査官です。</t>
    </r>
  </si>
  <si>
    <r>
      <rPr>
        <sz val="9"/>
        <rFont val="WenQuanYi Zen Hei"/>
        <family val="2"/>
      </rPr>
      <t xml:space="preserve">グランドフィナーレは、部門長が自部門の</t>
    </r>
    <r>
      <rPr>
        <sz val="9"/>
        <rFont val="Consolas"/>
        <family val="0"/>
        <charset val="1"/>
      </rPr>
      <t xml:space="preserve">AI</t>
    </r>
    <r>
      <rPr>
        <sz val="9"/>
        <rFont val="WenQuanYi Zen Hei"/>
        <family val="2"/>
      </rPr>
      <t xml:space="preserve">活用の取り組みを語る場です。応募</t>
    </r>
    <r>
      <rPr>
        <sz val="9"/>
        <rFont val="Consolas"/>
        <family val="0"/>
        <charset val="1"/>
      </rPr>
      <t xml:space="preserve">1</t>
    </r>
    <r>
      <rPr>
        <sz val="9"/>
        <rFont val="WenQuanYi Zen Hei"/>
        <family val="2"/>
      </rPr>
      <t xml:space="preserve">件を、以下のルーブリックに従って採点してください。</t>
    </r>
  </si>
  <si>
    <r>
      <rPr>
        <sz val="9"/>
        <rFont val="WenQuanYi Zen Hei"/>
        <family val="2"/>
      </rPr>
      <t xml:space="preserve">このルーブリックは、審査員</t>
    </r>
    <r>
      <rPr>
        <sz val="9"/>
        <rFont val="Consolas"/>
        <family val="0"/>
        <charset val="1"/>
      </rPr>
      <t xml:space="preserve">12</t>
    </r>
    <r>
      <rPr>
        <sz val="9"/>
        <rFont val="WenQuanYi Zen Hei"/>
        <family val="2"/>
      </rPr>
      <t xml:space="preserve">名それぞれのコメントを</t>
    </r>
    <r>
      <rPr>
        <sz val="9"/>
        <rFont val="Consolas"/>
        <family val="0"/>
        <charset val="1"/>
      </rPr>
      <t xml:space="preserve">6</t>
    </r>
    <r>
      <rPr>
        <sz val="9"/>
        <rFont val="WenQuanYi Zen Hei"/>
        <family val="2"/>
      </rPr>
      <t xml:space="preserve">観点に集約したものです。あなたが</t>
    </r>
    <r>
      <rPr>
        <sz val="9"/>
        <rFont val="Consolas"/>
        <family val="0"/>
        <charset val="1"/>
      </rPr>
      <t xml:space="preserve">1</t>
    </r>
    <r>
      <rPr>
        <sz val="9"/>
        <rFont val="WenQuanYi Zen Hei"/>
        <family val="2"/>
      </rPr>
      <t xml:space="preserve">回採点すれば、</t>
    </r>
    <r>
      <rPr>
        <sz val="9"/>
        <rFont val="Consolas"/>
        <family val="0"/>
        <charset val="1"/>
      </rPr>
      <t xml:space="preserve">12</t>
    </r>
    <r>
      <rPr>
        <sz val="9"/>
        <rFont val="WenQuanYi Zen Hei"/>
        <family val="2"/>
      </rPr>
      <t xml:space="preserve">名分の観点が反映されます。</t>
    </r>
  </si>
  <si>
    <t xml:space="preserve">━━━━━━━━━━━━━━━━━━━━━━━━━━━━━━━━━━━━━━━━━━━━━━━━━━━━━━━━━━━━━━━━━━━━━━━━━━━━━━</t>
  </si>
  <si>
    <t xml:space="preserve">■ 採点のルール</t>
  </si>
  <si>
    <r>
      <rPr>
        <sz val="9"/>
        <rFont val="Consolas"/>
        <family val="0"/>
        <charset val="1"/>
      </rPr>
      <t xml:space="preserve">1. 6</t>
    </r>
    <r>
      <rPr>
        <sz val="9"/>
        <rFont val="WenQuanYi Zen Hei"/>
        <family val="2"/>
      </rPr>
      <t xml:space="preserve">つの観点それぞれについて、レベル記述に最も近いものを選び </t>
    </r>
    <r>
      <rPr>
        <sz val="9"/>
        <rFont val="Consolas"/>
        <family val="0"/>
        <charset val="1"/>
      </rPr>
      <t xml:space="preserve">1</t>
    </r>
    <r>
      <rPr>
        <sz val="9"/>
        <rFont val="WenQuanYi Zen Hei"/>
        <family val="2"/>
      </rPr>
      <t xml:space="preserve">〜</t>
    </r>
    <r>
      <rPr>
        <sz val="9"/>
        <rFont val="Consolas"/>
        <family val="0"/>
        <charset val="1"/>
      </rPr>
      <t xml:space="preserve">5 </t>
    </r>
    <r>
      <rPr>
        <sz val="9"/>
        <rFont val="WenQuanYi Zen Hei"/>
        <family val="2"/>
      </rPr>
      <t xml:space="preserve">の整数をつける。</t>
    </r>
  </si>
  <si>
    <r>
      <rPr>
        <sz val="9"/>
        <rFont val="Consolas"/>
        <family val="0"/>
        <charset val="1"/>
      </rPr>
      <t xml:space="preserve">2. </t>
    </r>
    <r>
      <rPr>
        <sz val="9"/>
        <rFont val="WenQuanYi Zen Hei"/>
        <family val="2"/>
      </rPr>
      <t xml:space="preserve">レベルは「応募資料に書かれていること」だけで判断する。書かれていない良さを推測して加点しない。</t>
    </r>
  </si>
  <si>
    <r>
      <rPr>
        <sz val="9"/>
        <rFont val="Consolas"/>
        <family val="0"/>
        <charset val="1"/>
      </rPr>
      <t xml:space="preserve">3. </t>
    </r>
    <r>
      <rPr>
        <sz val="9"/>
        <rFont val="WenQuanYi Zen Hei"/>
        <family val="2"/>
      </rPr>
      <t xml:space="preserve">迷ったら低いほうのレベルをつける。上のレベルの記述をすべて満たしていなければ、そのレベルには到達していない。</t>
    </r>
  </si>
  <si>
    <r>
      <rPr>
        <sz val="9"/>
        <rFont val="Consolas"/>
        <family val="0"/>
        <charset val="1"/>
      </rPr>
      <t xml:space="preserve">4. </t>
    </r>
    <r>
      <rPr>
        <sz val="9"/>
        <rFont val="WenQuanYi Zen Hei"/>
        <family val="2"/>
      </rPr>
      <t xml:space="preserve">各観点について、そのレベルにした根拠を応募資料から原文で</t>
    </r>
    <r>
      <rPr>
        <sz val="9"/>
        <rFont val="Consolas"/>
        <family val="0"/>
        <charset val="1"/>
      </rPr>
      <t xml:space="preserve">1</t>
    </r>
    <r>
      <rPr>
        <sz val="9"/>
        <rFont val="WenQuanYi Zen Hei"/>
        <family val="2"/>
      </rPr>
      <t xml:space="preserve">〜</t>
    </r>
    <r>
      <rPr>
        <sz val="9"/>
        <rFont val="Consolas"/>
        <family val="0"/>
        <charset val="1"/>
      </rPr>
      <t xml:space="preserve">2</t>
    </r>
    <r>
      <rPr>
        <sz val="9"/>
        <rFont val="WenQuanYi Zen Hei"/>
        <family val="2"/>
      </rPr>
      <t xml:space="preserve">箇所引用する。引用できないレベルはつけてはいけない。</t>
    </r>
  </si>
  <si>
    <r>
      <rPr>
        <sz val="9"/>
        <rFont val="Consolas"/>
        <family val="0"/>
        <charset val="1"/>
      </rPr>
      <t xml:space="preserve">5. </t>
    </r>
    <r>
      <rPr>
        <sz val="9"/>
        <rFont val="WenQuanYi Zen Hei"/>
        <family val="2"/>
      </rPr>
      <t xml:space="preserve">前提フラグ </t>
    </r>
    <r>
      <rPr>
        <sz val="9"/>
        <rFont val="Consolas"/>
        <family val="0"/>
        <charset val="1"/>
      </rPr>
      <t xml:space="preserve">F1</t>
    </r>
    <r>
      <rPr>
        <sz val="9"/>
        <rFont val="WenQuanYi Zen Hei"/>
        <family val="2"/>
      </rPr>
      <t xml:space="preserve">〜</t>
    </r>
    <r>
      <rPr>
        <sz val="9"/>
        <rFont val="Consolas"/>
        <family val="0"/>
        <charset val="1"/>
      </rPr>
      <t xml:space="preserve">F4 </t>
    </r>
    <r>
      <rPr>
        <sz val="9"/>
        <rFont val="WenQuanYi Zen Hei"/>
        <family val="2"/>
      </rPr>
      <t xml:space="preserve">に該当する場合、指定された観点にレベル上限がかかる。上限を超えるレベルはつけられない。</t>
    </r>
  </si>
  <si>
    <r>
      <rPr>
        <sz val="9"/>
        <rFont val="Consolas"/>
        <family val="0"/>
        <charset val="1"/>
      </rPr>
      <t xml:space="preserve">6. </t>
    </r>
    <r>
      <rPr>
        <sz val="9"/>
        <rFont val="WenQuanYi Zen Hei"/>
        <family val="2"/>
      </rPr>
      <t xml:space="preserve">加重得点 ＝ レベル </t>
    </r>
    <r>
      <rPr>
        <sz val="9"/>
        <rFont val="Consolas"/>
        <family val="0"/>
        <charset val="1"/>
      </rPr>
      <t xml:space="preserve">÷ 5 × </t>
    </r>
    <r>
      <rPr>
        <sz val="9"/>
        <rFont val="WenQuanYi Zen Hei"/>
        <family val="2"/>
      </rPr>
      <t xml:space="preserve">配点。総合点は</t>
    </r>
    <r>
      <rPr>
        <sz val="9"/>
        <rFont val="Consolas"/>
        <family val="0"/>
        <charset val="1"/>
      </rPr>
      <t xml:space="preserve">6</t>
    </r>
    <r>
      <rPr>
        <sz val="9"/>
        <rFont val="WenQuanYi Zen Hei"/>
        <family val="2"/>
      </rPr>
      <t xml:space="preserve">観点の加重得点の合計（</t>
    </r>
    <r>
      <rPr>
        <sz val="9"/>
        <rFont val="Consolas"/>
        <family val="0"/>
        <charset val="1"/>
      </rPr>
      <t xml:space="preserve">100</t>
    </r>
    <r>
      <rPr>
        <sz val="9"/>
        <rFont val="WenQuanYi Zen Hei"/>
        <family val="2"/>
      </rPr>
      <t xml:space="preserve">点満点）。</t>
    </r>
  </si>
  <si>
    <r>
      <rPr>
        <sz val="9"/>
        <rFont val="WenQuanYi Zen Hei"/>
        <family val="2"/>
      </rPr>
      <t xml:space="preserve">■ 評価観点（</t>
    </r>
    <r>
      <rPr>
        <sz val="9"/>
        <rFont val="Consolas"/>
        <family val="0"/>
        <charset val="1"/>
      </rPr>
      <t xml:space="preserve">6</t>
    </r>
    <r>
      <rPr>
        <sz val="9"/>
        <rFont val="WenQuanYi Zen Hei"/>
        <family val="2"/>
      </rPr>
      <t xml:space="preserve">観点・合計</t>
    </r>
    <r>
      <rPr>
        <sz val="9"/>
        <rFont val="Consolas"/>
        <family val="0"/>
        <charset val="1"/>
      </rPr>
      <t xml:space="preserve">100</t>
    </r>
    <r>
      <rPr>
        <sz val="9"/>
        <rFont val="WenQuanYi Zen Hei"/>
        <family val="2"/>
      </rPr>
      <t xml:space="preserve">点）</t>
    </r>
  </si>
  <si>
    <t xml:space="preserve">------------------------------------------------------------------------------</t>
  </si>
  <si>
    <r>
      <rPr>
        <sz val="9"/>
        <rFont val="WenQuanYi Zen Hei"/>
        <family val="2"/>
      </rPr>
      <t xml:space="preserve">【</t>
    </r>
    <r>
      <rPr>
        <sz val="9"/>
        <rFont val="Consolas"/>
        <family val="0"/>
        <charset val="1"/>
      </rPr>
      <t xml:space="preserve">C1</t>
    </r>
    <r>
      <rPr>
        <sz val="9"/>
        <rFont val="WenQuanYi Zen Hei"/>
        <family val="2"/>
      </rPr>
      <t xml:space="preserve">】業務そのものの再設計と「やめる」判断　配点 </t>
    </r>
    <r>
      <rPr>
        <sz val="9"/>
        <rFont val="Consolas"/>
        <family val="0"/>
        <charset val="1"/>
      </rPr>
      <t xml:space="preserve">18 </t>
    </r>
    <r>
      <rPr>
        <sz val="9"/>
        <rFont val="WenQuanYi Zen Hei"/>
        <family val="2"/>
      </rPr>
      <t xml:space="preserve">点</t>
    </r>
  </si>
  <si>
    <r>
      <rPr>
        <sz val="9"/>
        <rFont val="WenQuanYi Zen Hei"/>
        <family val="2"/>
      </rPr>
      <t xml:space="preserve">問い： </t>
    </r>
    <r>
      <rPr>
        <sz val="9"/>
        <rFont val="Consolas"/>
        <family val="0"/>
        <charset val="1"/>
      </rPr>
      <t xml:space="preserve">AI</t>
    </r>
    <r>
      <rPr>
        <sz val="9"/>
        <rFont val="WenQuanYi Zen Hei"/>
        <family val="2"/>
      </rPr>
      <t xml:space="preserve">を既存業務に足したのか、業務のかたち自体を作り直したのか。</t>
    </r>
  </si>
  <si>
    <r>
      <rPr>
        <sz val="9"/>
        <rFont val="WenQuanYi Zen Hei"/>
        <family val="2"/>
      </rPr>
      <t xml:space="preserve">定義： </t>
    </r>
    <r>
      <rPr>
        <sz val="9"/>
        <rFont val="Consolas"/>
        <family val="0"/>
        <charset val="1"/>
      </rPr>
      <t xml:space="preserve">AI</t>
    </r>
    <r>
      <rPr>
        <sz val="9"/>
        <rFont val="WenQuanYi Zen Hei"/>
        <family val="2"/>
      </rPr>
      <t xml:space="preserve">を既存業務に付加したのではなく、業務の必要性を問い直し、廃止・統合・作り直しの判断まで踏み込めているか。「</t>
    </r>
    <r>
      <rPr>
        <sz val="9"/>
        <rFont val="Consolas"/>
        <family val="0"/>
        <charset val="1"/>
      </rPr>
      <t xml:space="preserve">AI</t>
    </r>
    <r>
      <rPr>
        <sz val="9"/>
        <rFont val="WenQuanYi Zen Hei"/>
        <family val="2"/>
      </rPr>
      <t xml:space="preserve">ありき」ではなく「業務の全体像を見たうえで必要な箇所に</t>
    </r>
    <r>
      <rPr>
        <sz val="9"/>
        <rFont val="Consolas"/>
        <family val="0"/>
        <charset val="1"/>
      </rPr>
      <t xml:space="preserve">AI</t>
    </r>
    <r>
      <rPr>
        <sz val="9"/>
        <rFont val="WenQuanYi Zen Hei"/>
        <family val="2"/>
      </rPr>
      <t xml:space="preserve">を置く」という思考の順序になっているかを見る。</t>
    </r>
  </si>
  <si>
    <r>
      <rPr>
        <sz val="9"/>
        <rFont val="WenQuanYi Zen Hei"/>
        <family val="2"/>
      </rPr>
      <t xml:space="preserve">  レベル</t>
    </r>
    <r>
      <rPr>
        <sz val="9"/>
        <rFont val="Consolas"/>
        <family val="0"/>
        <charset val="1"/>
      </rPr>
      <t xml:space="preserve">5</t>
    </r>
    <r>
      <rPr>
        <sz val="9"/>
        <rFont val="WenQuanYi Zen Hei"/>
        <family val="2"/>
      </rPr>
      <t xml:space="preserve">： 「これはもうやらなくていい」と廃止・縮小した業務を具体名で挙げられ、</t>
    </r>
    <r>
      <rPr>
        <sz val="9"/>
        <rFont val="Consolas"/>
        <family val="0"/>
        <charset val="1"/>
      </rPr>
      <t xml:space="preserve">AFTER</t>
    </r>
    <r>
      <rPr>
        <sz val="9"/>
        <rFont val="WenQuanYi Zen Hei"/>
        <family val="2"/>
      </rPr>
      <t xml:space="preserve">の業務フロー全体が再設計されている。</t>
    </r>
    <r>
      <rPr>
        <sz val="9"/>
        <rFont val="Consolas"/>
        <family val="0"/>
        <charset val="1"/>
      </rPr>
      <t xml:space="preserve">AI</t>
    </r>
    <r>
      <rPr>
        <sz val="9"/>
        <rFont val="WenQuanYi Zen Hei"/>
        <family val="2"/>
      </rPr>
      <t xml:space="preserve">は再設計の結果として配置されており、順序が明確に「業務 → </t>
    </r>
    <r>
      <rPr>
        <sz val="9"/>
        <rFont val="Consolas"/>
        <family val="0"/>
        <charset val="1"/>
      </rPr>
      <t xml:space="preserve">AI</t>
    </r>
    <r>
      <rPr>
        <sz val="9"/>
        <rFont val="WenQuanYi Zen Hei"/>
        <family val="2"/>
      </rPr>
      <t xml:space="preserve">」になっている。</t>
    </r>
  </si>
  <si>
    <r>
      <rPr>
        <sz val="9"/>
        <rFont val="WenQuanYi Zen Hei"/>
        <family val="2"/>
      </rPr>
      <t xml:space="preserve">  レベル</t>
    </r>
    <r>
      <rPr>
        <sz val="9"/>
        <rFont val="Consolas"/>
        <family val="0"/>
        <charset val="1"/>
      </rPr>
      <t xml:space="preserve">4</t>
    </r>
    <r>
      <rPr>
        <sz val="9"/>
        <rFont val="WenQuanYi Zen Hei"/>
        <family val="2"/>
      </rPr>
      <t xml:space="preserve">： 業務プロセスの一部を作り直し、廃止・統合した工程が具体的にある。ただし業務フロー全体の再設計までは至っていない。</t>
    </r>
  </si>
  <si>
    <r>
      <rPr>
        <sz val="9"/>
        <rFont val="WenQuanYi Zen Hei"/>
        <family val="2"/>
      </rPr>
      <t xml:space="preserve">  レベル</t>
    </r>
    <r>
      <rPr>
        <sz val="9"/>
        <rFont val="Consolas"/>
        <family val="0"/>
        <charset val="1"/>
      </rPr>
      <t xml:space="preserve">3</t>
    </r>
    <r>
      <rPr>
        <sz val="9"/>
        <rFont val="WenQuanYi Zen Hei"/>
        <family val="2"/>
      </rPr>
      <t xml:space="preserve">： 既存業務の必要性を問い直した形跡はあるが、実行は既存フローへの</t>
    </r>
    <r>
      <rPr>
        <sz val="9"/>
        <rFont val="Consolas"/>
        <family val="0"/>
        <charset val="1"/>
      </rPr>
      <t xml:space="preserve">AI</t>
    </r>
    <r>
      <rPr>
        <sz val="9"/>
        <rFont val="WenQuanYi Zen Hei"/>
        <family val="2"/>
      </rPr>
      <t xml:space="preserve">組み込みにとどまっている。</t>
    </r>
  </si>
  <si>
    <r>
      <rPr>
        <sz val="9"/>
        <rFont val="WenQuanYi Zen Hei"/>
        <family val="2"/>
      </rPr>
      <t xml:space="preserve">  レベル</t>
    </r>
    <r>
      <rPr>
        <sz val="9"/>
        <rFont val="Consolas"/>
        <family val="0"/>
        <charset val="1"/>
      </rPr>
      <t xml:space="preserve">2</t>
    </r>
    <r>
      <rPr>
        <sz val="9"/>
        <rFont val="WenQuanYi Zen Hei"/>
        <family val="2"/>
      </rPr>
      <t xml:space="preserve">： 既存業務のかたちは変えず、部分的に</t>
    </r>
    <r>
      <rPr>
        <sz val="9"/>
        <rFont val="Consolas"/>
        <family val="0"/>
        <charset val="1"/>
      </rPr>
      <t xml:space="preserve">AI</t>
    </r>
    <r>
      <rPr>
        <sz val="9"/>
        <rFont val="WenQuanYi Zen Hei"/>
        <family val="2"/>
      </rPr>
      <t xml:space="preserve">を当てはめて時短している。業務の要否そのものは問われていない。</t>
    </r>
  </si>
  <si>
    <r>
      <rPr>
        <sz val="9"/>
        <rFont val="WenQuanYi Zen Hei"/>
        <family val="2"/>
      </rPr>
      <t xml:space="preserve">  レベル</t>
    </r>
    <r>
      <rPr>
        <sz val="9"/>
        <rFont val="Consolas"/>
        <family val="0"/>
        <charset val="1"/>
      </rPr>
      <t xml:space="preserve">1</t>
    </r>
    <r>
      <rPr>
        <sz val="9"/>
        <rFont val="WenQuanYi Zen Hei"/>
        <family val="2"/>
      </rPr>
      <t xml:space="preserve">： ツール導入や</t>
    </r>
    <r>
      <rPr>
        <sz val="9"/>
        <rFont val="Consolas"/>
        <family val="0"/>
        <charset val="1"/>
      </rPr>
      <t xml:space="preserve">PoC</t>
    </r>
    <r>
      <rPr>
        <sz val="9"/>
        <rFont val="WenQuanYi Zen Hei"/>
        <family val="2"/>
      </rPr>
      <t xml:space="preserve">の報告にとどまり、業務そのものは何も変わっていない。</t>
    </r>
  </si>
  <si>
    <t xml:space="preserve">  この観点の出所（◎＝グランドフィナーレコメント／○＝審査コメント）：</t>
  </si>
  <si>
    <t xml:space="preserve">    ◎ 前田 憲仁（執行役員）… 既存業務を見直し、やめる判断ができているか。業務プロセス自体を見直せているか</t>
  </si>
  <si>
    <t xml:space="preserve">    ◎ 中村 智之（執行役員）… 業務の必要性を問い直す視点</t>
  </si>
  <si>
    <r>
      <rPr>
        <sz val="9"/>
        <rFont val="WenQuanYi Zen Hei"/>
        <family val="2"/>
      </rPr>
      <t xml:space="preserve">    ○ 伊藤 英啓（執行役員）… </t>
    </r>
    <r>
      <rPr>
        <sz val="9"/>
        <rFont val="Consolas"/>
        <family val="0"/>
        <charset val="1"/>
      </rPr>
      <t xml:space="preserve">AI</t>
    </r>
    <r>
      <rPr>
        <sz val="9"/>
        <rFont val="WenQuanYi Zen Hei"/>
        <family val="2"/>
      </rPr>
      <t xml:space="preserve">ありきでなく、業務の全体像を見たうえで必要な箇所に組み込む思考の順序</t>
    </r>
  </si>
  <si>
    <r>
      <rPr>
        <sz val="9"/>
        <rFont val="WenQuanYi Zen Hei"/>
        <family val="2"/>
      </rPr>
      <t xml:space="preserve">    ○ 安田 博一（常務執行役員）… </t>
    </r>
    <r>
      <rPr>
        <sz val="9"/>
        <rFont val="Consolas"/>
        <family val="0"/>
        <charset val="1"/>
      </rPr>
      <t xml:space="preserve">0</t>
    </r>
    <r>
      <rPr>
        <sz val="9"/>
        <rFont val="WenQuanYi Zen Hei"/>
        <family val="2"/>
      </rPr>
      <t xml:space="preserve">から</t>
    </r>
    <r>
      <rPr>
        <sz val="9"/>
        <rFont val="Consolas"/>
        <family val="0"/>
        <charset val="1"/>
      </rPr>
      <t xml:space="preserve">100</t>
    </r>
    <r>
      <rPr>
        <sz val="9"/>
        <rFont val="WenQuanYi Zen Hei"/>
        <family val="2"/>
      </rPr>
      <t xml:space="preserve">までの一連の流れを俯瞰し、個別最適ではなく全体最適で組み立てる</t>
    </r>
  </si>
  <si>
    <r>
      <rPr>
        <sz val="9"/>
        <rFont val="WenQuanYi Zen Hei"/>
        <family val="2"/>
      </rPr>
      <t xml:space="preserve">    ○ 小杉 智（執行役員 </t>
    </r>
    <r>
      <rPr>
        <sz val="9"/>
        <rFont val="Consolas"/>
        <family val="0"/>
        <charset val="1"/>
      </rPr>
      <t xml:space="preserve">/ </t>
    </r>
    <r>
      <rPr>
        <sz val="9"/>
        <rFont val="WenQuanYi Zen Hei"/>
        <family val="2"/>
      </rPr>
      <t xml:space="preserve">ネクストスケープ 代表取締役社長）… フルスタックの姿勢で全体を見渡せているか。「使う側」に立てているか</t>
    </r>
  </si>
  <si>
    <r>
      <rPr>
        <sz val="9"/>
        <rFont val="WenQuanYi Zen Hei"/>
        <family val="2"/>
      </rPr>
      <t xml:space="preserve">    ○ 松尾 邦孝（</t>
    </r>
    <r>
      <rPr>
        <sz val="9"/>
        <rFont val="Consolas"/>
        <family val="0"/>
        <charset val="1"/>
      </rPr>
      <t xml:space="preserve">AI</t>
    </r>
    <r>
      <rPr>
        <sz val="9"/>
        <rFont val="WenQuanYi Zen Hei"/>
        <family val="2"/>
      </rPr>
      <t xml:space="preserve">トランスフォーメーション事業本部長）… 業務の延長で</t>
    </r>
    <r>
      <rPr>
        <sz val="9"/>
        <rFont val="Consolas"/>
        <family val="0"/>
        <charset val="1"/>
      </rPr>
      <t xml:space="preserve">AI</t>
    </r>
    <r>
      <rPr>
        <sz val="9"/>
        <rFont val="WenQuanYi Zen Hei"/>
        <family val="2"/>
      </rPr>
      <t xml:space="preserve">を使うのではなく、</t>
    </r>
    <r>
      <rPr>
        <sz val="9"/>
        <rFont val="Consolas"/>
        <family val="0"/>
        <charset val="1"/>
      </rPr>
      <t xml:space="preserve">AI</t>
    </r>
    <r>
      <rPr>
        <sz val="9"/>
        <rFont val="WenQuanYi Zen Hei"/>
        <family val="2"/>
      </rPr>
      <t xml:space="preserve">がいる前提で業務そのものを組み立て直す</t>
    </r>
  </si>
  <si>
    <r>
      <rPr>
        <sz val="9"/>
        <rFont val="WenQuanYi Zen Hei"/>
        <family val="2"/>
      </rPr>
      <t xml:space="preserve">【</t>
    </r>
    <r>
      <rPr>
        <sz val="9"/>
        <rFont val="Consolas"/>
        <family val="0"/>
        <charset val="1"/>
      </rPr>
      <t xml:space="preserve">C2</t>
    </r>
    <r>
      <rPr>
        <sz val="9"/>
        <rFont val="WenQuanYi Zen Hei"/>
        <family val="2"/>
      </rPr>
      <t xml:space="preserve">】組織への浸透と参加の広がり　配点 </t>
    </r>
    <r>
      <rPr>
        <sz val="9"/>
        <rFont val="Consolas"/>
        <family val="0"/>
        <charset val="1"/>
      </rPr>
      <t xml:space="preserve">20 </t>
    </r>
    <r>
      <rPr>
        <sz val="9"/>
        <rFont val="WenQuanYi Zen Hei"/>
        <family val="2"/>
      </rPr>
      <t xml:space="preserve">点</t>
    </r>
  </si>
  <si>
    <t xml:space="preserve">問い： 部門の何割が、当たり前のこととして使っているか。主役は誰か。</t>
  </si>
  <si>
    <r>
      <rPr>
        <sz val="9"/>
        <rFont val="WenQuanYi Zen Hei"/>
        <family val="2"/>
      </rPr>
      <t xml:space="preserve">定義： 優れたアイデア単体ではなく、部門全体の参加率と広がりを見る。「</t>
    </r>
    <r>
      <rPr>
        <sz val="9"/>
        <rFont val="Consolas"/>
        <family val="0"/>
        <charset val="1"/>
      </rPr>
      <t xml:space="preserve">AI</t>
    </r>
    <r>
      <rPr>
        <sz val="9"/>
        <rFont val="WenQuanYi Zen Hei"/>
        <family val="2"/>
      </rPr>
      <t xml:space="preserve">を使うのが当たり前だよね」と部員全員が自然に思える文化になっているか。実際に手を動かしている人、とりわけ若手や普段前に出る機会が少ないメンバーが主役を担えているか。</t>
    </r>
  </si>
  <si>
    <r>
      <rPr>
        <sz val="9"/>
        <rFont val="WenQuanYi Zen Hei"/>
        <family val="2"/>
      </rPr>
      <t xml:space="preserve">  レベル</t>
    </r>
    <r>
      <rPr>
        <sz val="9"/>
        <rFont val="Consolas"/>
        <family val="0"/>
        <charset val="1"/>
      </rPr>
      <t xml:space="preserve">5</t>
    </r>
    <r>
      <rPr>
        <sz val="9"/>
        <rFont val="WenQuanYi Zen Hei"/>
        <family val="2"/>
      </rPr>
      <t xml:space="preserve">： 部門のほぼ全員が日常的に使い、「</t>
    </r>
    <r>
      <rPr>
        <sz val="9"/>
        <rFont val="Consolas"/>
        <family val="0"/>
        <charset val="1"/>
      </rPr>
      <t xml:space="preserve">AI</t>
    </r>
    <r>
      <rPr>
        <sz val="9"/>
        <rFont val="WenQuanYi Zen Hei"/>
        <family val="2"/>
      </rPr>
      <t xml:space="preserve">を使うのが当たり前」と語られる状態。参加率が数値で示されている。若手や普段前に出ないメンバーが主役として登場し、これまで評価されにくかった立場の人が新たな価値を発揮している。</t>
    </r>
  </si>
  <si>
    <r>
      <rPr>
        <sz val="9"/>
        <rFont val="WenQuanYi Zen Hei"/>
        <family val="2"/>
      </rPr>
      <t xml:space="preserve">  レベル</t>
    </r>
    <r>
      <rPr>
        <sz val="9"/>
        <rFont val="Consolas"/>
        <family val="0"/>
        <charset val="1"/>
      </rPr>
      <t xml:space="preserve">4</t>
    </r>
    <r>
      <rPr>
        <sz val="9"/>
        <rFont val="WenQuanYi Zen Hei"/>
        <family val="2"/>
      </rPr>
      <t xml:space="preserve">： 部門の過半が継続的に使用している。複数のチームに広がり、推進役も複数名いる。参加者の顔ぶれに広がりがある。</t>
    </r>
  </si>
  <si>
    <r>
      <rPr>
        <sz val="9"/>
        <rFont val="WenQuanYi Zen Hei"/>
        <family val="2"/>
      </rPr>
      <t xml:space="preserve">  レベル</t>
    </r>
    <r>
      <rPr>
        <sz val="9"/>
        <rFont val="Consolas"/>
        <family val="0"/>
        <charset val="1"/>
      </rPr>
      <t xml:space="preserve">3</t>
    </r>
    <r>
      <rPr>
        <sz val="9"/>
        <rFont val="WenQuanYi Zen Hei"/>
        <family val="2"/>
      </rPr>
      <t xml:space="preserve">： 一部チームには広がっているが、使う人と使わない人の差が大きい。主役は依然として一部のメンバーに偏っている。</t>
    </r>
  </si>
  <si>
    <r>
      <rPr>
        <sz val="9"/>
        <rFont val="WenQuanYi Zen Hei"/>
        <family val="2"/>
      </rPr>
      <t xml:space="preserve">  レベル</t>
    </r>
    <r>
      <rPr>
        <sz val="9"/>
        <rFont val="Consolas"/>
        <family val="0"/>
        <charset val="1"/>
      </rPr>
      <t xml:space="preserve">2</t>
    </r>
    <r>
      <rPr>
        <sz val="9"/>
        <rFont val="WenQuanYi Zen Hei"/>
        <family val="2"/>
      </rPr>
      <t xml:space="preserve">： 推進者とその周辺の数名にとどまる。部門としての広がりは語られていない。</t>
    </r>
  </si>
  <si>
    <r>
      <rPr>
        <sz val="9"/>
        <rFont val="WenQuanYi Zen Hei"/>
        <family val="2"/>
      </rPr>
      <t xml:space="preserve">  レベル</t>
    </r>
    <r>
      <rPr>
        <sz val="9"/>
        <rFont val="Consolas"/>
        <family val="0"/>
        <charset val="1"/>
      </rPr>
      <t xml:space="preserve">1</t>
    </r>
    <r>
      <rPr>
        <sz val="9"/>
        <rFont val="WenQuanYi Zen Hei"/>
        <family val="2"/>
      </rPr>
      <t xml:space="preserve">： 特定個人</t>
    </r>
    <r>
      <rPr>
        <sz val="9"/>
        <rFont val="Consolas"/>
        <family val="0"/>
        <charset val="1"/>
      </rPr>
      <t xml:space="preserve">1</t>
    </r>
    <r>
      <rPr>
        <sz val="9"/>
        <rFont val="WenQuanYi Zen Hei"/>
        <family val="2"/>
      </rPr>
      <t xml:space="preserve">名の取り組み。部門への広がりが確認できない。</t>
    </r>
  </si>
  <si>
    <t xml:space="preserve">    ◎ 伊藤 裕一（執行役員）… 優れたアイデアよりも部門全体の参加率と広がり。チーム全員を巻き込む</t>
  </si>
  <si>
    <r>
      <rPr>
        <sz val="9"/>
        <rFont val="WenQuanYi Zen Hei"/>
        <family val="2"/>
      </rPr>
      <t xml:space="preserve">    ◎ 中山 高史（執行役員 </t>
    </r>
    <r>
      <rPr>
        <sz val="9"/>
        <rFont val="Consolas"/>
        <family val="0"/>
        <charset val="1"/>
      </rPr>
      <t xml:space="preserve">/ AIexe </t>
    </r>
    <r>
      <rPr>
        <sz val="9"/>
        <rFont val="WenQuanYi Zen Hei"/>
        <family val="2"/>
      </rPr>
      <t xml:space="preserve">代表取締役社長）… 「</t>
    </r>
    <r>
      <rPr>
        <sz val="9"/>
        <rFont val="Consolas"/>
        <family val="0"/>
        <charset val="1"/>
      </rPr>
      <t xml:space="preserve">AI</t>
    </r>
    <r>
      <rPr>
        <sz val="9"/>
        <rFont val="WenQuanYi Zen Hei"/>
        <family val="2"/>
      </rPr>
      <t xml:space="preserve">を使うのが当たり前だよね」と部員全員が自然に思える組織・文化の醸成</t>
    </r>
  </si>
  <si>
    <r>
      <rPr>
        <sz val="9"/>
        <rFont val="WenQuanYi Zen Hei"/>
        <family val="2"/>
      </rPr>
      <t xml:space="preserve">    ◎ 松尾 邦孝（</t>
    </r>
    <r>
      <rPr>
        <sz val="9"/>
        <rFont val="Consolas"/>
        <family val="0"/>
        <charset val="1"/>
      </rPr>
      <t xml:space="preserve">AI</t>
    </r>
    <r>
      <rPr>
        <sz val="9"/>
        <rFont val="WenQuanYi Zen Hei"/>
        <family val="2"/>
      </rPr>
      <t xml:space="preserve">トランスフォーメーション事業本部長）… 部門全員が当たり前のように</t>
    </r>
    <r>
      <rPr>
        <sz val="9"/>
        <rFont val="Consolas"/>
        <family val="0"/>
        <charset val="1"/>
      </rPr>
      <t xml:space="preserve">AI</t>
    </r>
    <r>
      <rPr>
        <sz val="9"/>
        <rFont val="WenQuanYi Zen Hei"/>
        <family val="2"/>
      </rPr>
      <t xml:space="preserve">を使っている状態を実現できているか</t>
    </r>
  </si>
  <si>
    <t xml:space="preserve">    ◎ 上坂 貴志（取締役専務執行役員）… 実際に手を動かしている人、特に若手や普段前に出る機会が少ないメンバーが主役</t>
  </si>
  <si>
    <r>
      <rPr>
        <sz val="9"/>
        <rFont val="WenQuanYi Zen Hei"/>
        <family val="2"/>
      </rPr>
      <t xml:space="preserve">    ○ 櫻田 浩（執行役員 </t>
    </r>
    <r>
      <rPr>
        <sz val="9"/>
        <rFont val="Consolas"/>
        <family val="0"/>
        <charset val="1"/>
      </rPr>
      <t xml:space="preserve">/ SureBizCloud </t>
    </r>
    <r>
      <rPr>
        <sz val="9"/>
        <rFont val="WenQuanYi Zen Hei"/>
        <family val="2"/>
      </rPr>
      <t xml:space="preserve">代表取締役社長）… これまで評価されにくかった立場や役割のメンバーが新たな価値を発揮している</t>
    </r>
  </si>
  <si>
    <r>
      <rPr>
        <sz val="9"/>
        <rFont val="WenQuanYi Zen Hei"/>
        <family val="2"/>
      </rPr>
      <t xml:space="preserve">【</t>
    </r>
    <r>
      <rPr>
        <sz val="9"/>
        <rFont val="Consolas"/>
        <family val="0"/>
        <charset val="1"/>
      </rPr>
      <t xml:space="preserve">C3</t>
    </r>
    <r>
      <rPr>
        <sz val="9"/>
        <rFont val="WenQuanYi Zen Hei"/>
        <family val="2"/>
      </rPr>
      <t xml:space="preserve">】仕組み化と会社のプロセス資産化　配点 </t>
    </r>
    <r>
      <rPr>
        <sz val="9"/>
        <rFont val="Consolas"/>
        <family val="0"/>
        <charset val="1"/>
      </rPr>
      <t xml:space="preserve">11 </t>
    </r>
    <r>
      <rPr>
        <sz val="9"/>
        <rFont val="WenQuanYi Zen Hei"/>
        <family val="2"/>
      </rPr>
      <t xml:space="preserve">点</t>
    </r>
  </si>
  <si>
    <t xml:space="preserve">問い： 担当者が抜けても回るか。他部門が実際に再利用しているか。</t>
  </si>
  <si>
    <t xml:space="preserve">定義： 個人の熱意に依存しているのか、組織として自律的に回っているのか。仕組み化のプロセスが明確に示されているか。つくったものが「会社のプロセス資産」として再利用されるサイクルになっているか、誰でも実行できる再現性があるかを見る。</t>
  </si>
  <si>
    <r>
      <rPr>
        <sz val="9"/>
        <rFont val="WenQuanYi Zen Hei"/>
        <family val="2"/>
      </rPr>
      <t xml:space="preserve">  レベル</t>
    </r>
    <r>
      <rPr>
        <sz val="9"/>
        <rFont val="Consolas"/>
        <family val="0"/>
        <charset val="1"/>
      </rPr>
      <t xml:space="preserve">5</t>
    </r>
    <r>
      <rPr>
        <sz val="9"/>
        <rFont val="WenQuanYi Zen Hei"/>
        <family val="2"/>
      </rPr>
      <t xml:space="preserve">： 属人性を排した仕組み（手順・テンプレート・エージェント・基盤）として整備され、担当者が変わっても回る。成果物が全社のプロセス資産として登録・再利用され、他部門が実際に使った実績がある。</t>
    </r>
  </si>
  <si>
    <r>
      <rPr>
        <sz val="9"/>
        <rFont val="WenQuanYi Zen Hei"/>
        <family val="2"/>
      </rPr>
      <t xml:space="preserve">  レベル</t>
    </r>
    <r>
      <rPr>
        <sz val="9"/>
        <rFont val="Consolas"/>
        <family val="0"/>
        <charset val="1"/>
      </rPr>
      <t xml:space="preserve">4</t>
    </r>
    <r>
      <rPr>
        <sz val="9"/>
        <rFont val="WenQuanYi Zen Hei"/>
        <family val="2"/>
      </rPr>
      <t xml:space="preserve">： 仕組み化され部門内で自律的に回っている。再利用可能な形で共有されているが、他部門での利用実績はまだない。</t>
    </r>
  </si>
  <si>
    <r>
      <rPr>
        <sz val="9"/>
        <rFont val="WenQuanYi Zen Hei"/>
        <family val="2"/>
      </rPr>
      <t xml:space="preserve">  レベル</t>
    </r>
    <r>
      <rPr>
        <sz val="9"/>
        <rFont val="Consolas"/>
        <family val="0"/>
        <charset val="1"/>
      </rPr>
      <t xml:space="preserve">3</t>
    </r>
    <r>
      <rPr>
        <sz val="9"/>
        <rFont val="WenQuanYi Zen Hei"/>
        <family val="2"/>
      </rPr>
      <t xml:space="preserve">： 手順やナレッジは残っているが、運用は推進者の関与に依存している。再現性は限定的。</t>
    </r>
  </si>
  <si>
    <r>
      <rPr>
        <sz val="9"/>
        <rFont val="WenQuanYi Zen Hei"/>
        <family val="2"/>
      </rPr>
      <t xml:space="preserve">  レベル</t>
    </r>
    <r>
      <rPr>
        <sz val="9"/>
        <rFont val="Consolas"/>
        <family val="0"/>
        <charset val="1"/>
      </rPr>
      <t xml:space="preserve">2</t>
    </r>
    <r>
      <rPr>
        <sz val="9"/>
        <rFont val="WenQuanYi Zen Hei"/>
        <family val="2"/>
      </rPr>
      <t xml:space="preserve">： 個人の熱意で回っており、その人が抜ければ止まる。仕組み化のプロセスが語られていない。</t>
    </r>
  </si>
  <si>
    <r>
      <rPr>
        <sz val="9"/>
        <rFont val="WenQuanYi Zen Hei"/>
        <family val="2"/>
      </rPr>
      <t xml:space="preserve">  レベル</t>
    </r>
    <r>
      <rPr>
        <sz val="9"/>
        <rFont val="Consolas"/>
        <family val="0"/>
        <charset val="1"/>
      </rPr>
      <t xml:space="preserve">1</t>
    </r>
    <r>
      <rPr>
        <sz val="9"/>
        <rFont val="WenQuanYi Zen Hei"/>
        <family val="2"/>
      </rPr>
      <t xml:space="preserve">： 単発の取り組みで、再現の手立てがない。</t>
    </r>
  </si>
  <si>
    <r>
      <rPr>
        <sz val="9"/>
        <rFont val="WenQuanYi Zen Hei"/>
        <family val="2"/>
      </rPr>
      <t xml:space="preserve">    ◎ 松尾 邦孝（</t>
    </r>
    <r>
      <rPr>
        <sz val="9"/>
        <rFont val="Consolas"/>
        <family val="0"/>
        <charset val="1"/>
      </rPr>
      <t xml:space="preserve">AI</t>
    </r>
    <r>
      <rPr>
        <sz val="9"/>
        <rFont val="WenQuanYi Zen Hei"/>
        <family val="2"/>
      </rPr>
      <t xml:space="preserve">トランスフォーメーション事業本部長）… 個人の熱意依存か、組織として自律的に回っているか。仕組み化のプロセスを明確に示す</t>
    </r>
  </si>
  <si>
    <r>
      <rPr>
        <sz val="9"/>
        <rFont val="WenQuanYi Zen Hei"/>
        <family val="2"/>
      </rPr>
      <t xml:space="preserve">    ◎ 小杉 智（執行役員 </t>
    </r>
    <r>
      <rPr>
        <sz val="9"/>
        <rFont val="Consolas"/>
        <family val="0"/>
        <charset val="1"/>
      </rPr>
      <t xml:space="preserve">/ </t>
    </r>
    <r>
      <rPr>
        <sz val="9"/>
        <rFont val="WenQuanYi Zen Hei"/>
        <family val="2"/>
      </rPr>
      <t xml:space="preserve">ネクストスケープ 代表取締役社長）… 部門でつくったものが「会社のプロセス資産」になり、再利用されるサイクルが形成されているか</t>
    </r>
  </si>
  <si>
    <t xml:space="preserve">    ○ 中村 智之（執行役員）… 誰でも実行できる再現性</t>
  </si>
  <si>
    <r>
      <rPr>
        <sz val="9"/>
        <rFont val="WenQuanYi Zen Hei"/>
        <family val="2"/>
      </rPr>
      <t xml:space="preserve">【</t>
    </r>
    <r>
      <rPr>
        <sz val="9"/>
        <rFont val="Consolas"/>
        <family val="0"/>
        <charset val="1"/>
      </rPr>
      <t xml:space="preserve">C4</t>
    </r>
    <r>
      <rPr>
        <sz val="9"/>
        <rFont val="WenQuanYi Zen Hei"/>
        <family val="2"/>
      </rPr>
      <t xml:space="preserve">】波及範囲と経営視座　配点 </t>
    </r>
    <r>
      <rPr>
        <sz val="9"/>
        <rFont val="Consolas"/>
        <family val="0"/>
        <charset val="1"/>
      </rPr>
      <t xml:space="preserve">22 </t>
    </r>
    <r>
      <rPr>
        <sz val="9"/>
        <rFont val="WenQuanYi Zen Hei"/>
        <family val="2"/>
      </rPr>
      <t xml:space="preserve">点</t>
    </r>
  </si>
  <si>
    <t xml:space="preserve">問い： 自部門で閉じているか、面で会社を、さらに顧客を引き上げているか。</t>
  </si>
  <si>
    <r>
      <rPr>
        <sz val="9"/>
        <rFont val="WenQuanYi Zen Hei"/>
        <family val="2"/>
      </rPr>
      <t xml:space="preserve">定義： 単なる部門最適ではなく、会社全体を「面」で引き上げる観点と具体的な取り組みがあるか。人の感覚に依存していた部門間連携を</t>
    </r>
    <r>
      <rPr>
        <sz val="9"/>
        <rFont val="Consolas"/>
        <family val="0"/>
        <charset val="1"/>
      </rPr>
      <t xml:space="preserve">AI</t>
    </r>
    <r>
      <rPr>
        <sz val="9"/>
        <rFont val="WenQuanYi Zen Hei"/>
        <family val="2"/>
      </rPr>
      <t xml:space="preserve">とデータで「当たり前」に成立させているか。データ基盤など経営視点での課題提起があるか。さらに、</t>
    </r>
    <r>
      <rPr>
        <sz val="9"/>
        <rFont val="Consolas"/>
        <family val="0"/>
        <charset val="1"/>
      </rPr>
      <t xml:space="preserve">IT</t>
    </r>
    <r>
      <rPr>
        <sz val="9"/>
        <rFont val="WenQuanYi Zen Hei"/>
        <family val="2"/>
      </rPr>
      <t xml:space="preserve">リテラシーや体制が十分でない顧客を一歩先のステージへ引き上げる伴走まで射程に入っているかを見る。</t>
    </r>
  </si>
  <si>
    <r>
      <rPr>
        <sz val="9"/>
        <rFont val="WenQuanYi Zen Hei"/>
        <family val="2"/>
      </rPr>
      <t xml:space="preserve">  レベル</t>
    </r>
    <r>
      <rPr>
        <sz val="9"/>
        <rFont val="Consolas"/>
        <family val="0"/>
        <charset val="1"/>
      </rPr>
      <t xml:space="preserve">5</t>
    </r>
    <r>
      <rPr>
        <sz val="9"/>
        <rFont val="WenQuanYi Zen Hei"/>
        <family val="2"/>
      </rPr>
      <t xml:space="preserve">： 全社を「面」で引き上げる取り組みになっており、社外・顧客（とりわけ情シス体制や</t>
    </r>
    <r>
      <rPr>
        <sz val="9"/>
        <rFont val="Consolas"/>
        <family val="0"/>
        <charset val="1"/>
      </rPr>
      <t xml:space="preserve">IT</t>
    </r>
    <r>
      <rPr>
        <sz val="9"/>
        <rFont val="WenQuanYi Zen Hei"/>
        <family val="2"/>
      </rPr>
      <t xml:space="preserve">リテラシーが十分でない顧客）を一歩先へ引き上げる伴走まで射程に入っている。データ基盤など経営レベルの課題提起を伴う。</t>
    </r>
  </si>
  <si>
    <r>
      <rPr>
        <sz val="9"/>
        <rFont val="WenQuanYi Zen Hei"/>
        <family val="2"/>
      </rPr>
      <t xml:space="preserve">  レベル</t>
    </r>
    <r>
      <rPr>
        <sz val="9"/>
        <rFont val="Consolas"/>
        <family val="0"/>
        <charset val="1"/>
      </rPr>
      <t xml:space="preserve">4</t>
    </r>
    <r>
      <rPr>
        <sz val="9"/>
        <rFont val="WenQuanYi Zen Hei"/>
        <family val="2"/>
      </rPr>
      <t xml:space="preserve">： 部門間連携が</t>
    </r>
    <r>
      <rPr>
        <sz val="9"/>
        <rFont val="Consolas"/>
        <family val="0"/>
        <charset val="1"/>
      </rPr>
      <t xml:space="preserve">AI</t>
    </r>
    <r>
      <rPr>
        <sz val="9"/>
        <rFont val="WenQuanYi Zen Hei"/>
        <family val="2"/>
      </rPr>
      <t xml:space="preserve">とデータで「当たり前」に成立し、他部門への展開実績がある。全社視点での課題提起ができている。</t>
    </r>
  </si>
  <si>
    <r>
      <rPr>
        <sz val="9"/>
        <rFont val="WenQuanYi Zen Hei"/>
        <family val="2"/>
      </rPr>
      <t xml:space="preserve">  レベル</t>
    </r>
    <r>
      <rPr>
        <sz val="9"/>
        <rFont val="Consolas"/>
        <family val="0"/>
        <charset val="1"/>
      </rPr>
      <t xml:space="preserve">3</t>
    </r>
    <r>
      <rPr>
        <sz val="9"/>
        <rFont val="WenQuanYi Zen Hei"/>
        <family val="2"/>
      </rPr>
      <t xml:space="preserve">： 他部門への共有・展開の動きはあるが、まだ点の連携にとどまる。経営視点の提起は弱い。</t>
    </r>
  </si>
  <si>
    <r>
      <rPr>
        <sz val="9"/>
        <rFont val="WenQuanYi Zen Hei"/>
        <family val="2"/>
      </rPr>
      <t xml:space="preserve">  レベル</t>
    </r>
    <r>
      <rPr>
        <sz val="9"/>
        <rFont val="Consolas"/>
        <family val="0"/>
        <charset val="1"/>
      </rPr>
      <t xml:space="preserve">2</t>
    </r>
    <r>
      <rPr>
        <sz val="9"/>
        <rFont val="WenQuanYi Zen Hei"/>
        <family val="2"/>
      </rPr>
      <t xml:space="preserve">： 自部門内での最適化にとどまる。外への波及が語られていない。</t>
    </r>
  </si>
  <si>
    <r>
      <rPr>
        <sz val="9"/>
        <rFont val="WenQuanYi Zen Hei"/>
        <family val="2"/>
      </rPr>
      <t xml:space="preserve">  レベル</t>
    </r>
    <r>
      <rPr>
        <sz val="9"/>
        <rFont val="Consolas"/>
        <family val="0"/>
        <charset val="1"/>
      </rPr>
      <t xml:space="preserve">1</t>
    </r>
    <r>
      <rPr>
        <sz val="9"/>
        <rFont val="WenQuanYi Zen Hei"/>
        <family val="2"/>
      </rPr>
      <t xml:space="preserve">： 個別業務の最適化にとどまり、部門外への視点がない。</t>
    </r>
  </si>
  <si>
    <t xml:space="preserve">    ◎ 安田 博一（常務執行役員）… 単なる部門最適ではなく、会社全体を「面」で引き上げる観点と具体的な取り組み</t>
  </si>
  <si>
    <t xml:space="preserve">    ◎ 中村 智之（執行役員）… 自部門に閉じず、他部門・全社への貢献と、データ基盤など経営視点での課題提起</t>
  </si>
  <si>
    <r>
      <rPr>
        <sz val="9"/>
        <rFont val="WenQuanYi Zen Hei"/>
        <family val="2"/>
      </rPr>
      <t xml:space="preserve">    ◎ 勝田 耕平（取締役常務執行役員）… 人の感覚に依存していた部門間連携を、</t>
    </r>
    <r>
      <rPr>
        <sz val="9"/>
        <rFont val="Consolas"/>
        <family val="0"/>
        <charset val="1"/>
      </rPr>
      <t xml:space="preserve">AI</t>
    </r>
    <r>
      <rPr>
        <sz val="9"/>
        <rFont val="WenQuanYi Zen Hei"/>
        <family val="2"/>
      </rPr>
      <t xml:space="preserve">とデータで「当たり前」に成立させる</t>
    </r>
  </si>
  <si>
    <r>
      <rPr>
        <sz val="9"/>
        <rFont val="WenQuanYi Zen Hei"/>
        <family val="2"/>
      </rPr>
      <t xml:space="preserve">    ◎ 櫻田 浩（執行役員 </t>
    </r>
    <r>
      <rPr>
        <sz val="9"/>
        <rFont val="Consolas"/>
        <family val="0"/>
        <charset val="1"/>
      </rPr>
      <t xml:space="preserve">/ SureBizCloud </t>
    </r>
    <r>
      <rPr>
        <sz val="9"/>
        <rFont val="WenQuanYi Zen Hei"/>
        <family val="2"/>
      </rPr>
      <t xml:space="preserve">代表取締役社長）… 体制や</t>
    </r>
    <r>
      <rPr>
        <sz val="9"/>
        <rFont val="Consolas"/>
        <family val="0"/>
        <charset val="1"/>
      </rPr>
      <t xml:space="preserve">IT</t>
    </r>
    <r>
      <rPr>
        <sz val="9"/>
        <rFont val="WenQuanYi Zen Hei"/>
        <family val="2"/>
      </rPr>
      <t xml:space="preserve">リテラシーが十分でないお客さまを一歩先のステージへ引き上げ、伴走できるリーダー</t>
    </r>
  </si>
  <si>
    <t xml:space="preserve">    ○ 中村 智之（執行役員）… 社外・グローバルにも展開できる普遍性</t>
  </si>
  <si>
    <t xml:space="preserve">    ○ 牧田 幸弘（代表取締役社長）… 成果の大きさだけでなく、その効果の広がり</t>
  </si>
  <si>
    <r>
      <rPr>
        <sz val="9"/>
        <rFont val="WenQuanYi Zen Hei"/>
        <family val="2"/>
      </rPr>
      <t xml:space="preserve">【</t>
    </r>
    <r>
      <rPr>
        <sz val="9"/>
        <rFont val="Consolas"/>
        <family val="0"/>
        <charset val="1"/>
      </rPr>
      <t xml:space="preserve">C5</t>
    </r>
    <r>
      <rPr>
        <sz val="9"/>
        <rFont val="WenQuanYi Zen Hei"/>
        <family val="2"/>
      </rPr>
      <t xml:space="preserve">】創出した価値と、その再投資先　配点 </t>
    </r>
    <r>
      <rPr>
        <sz val="9"/>
        <rFont val="Consolas"/>
        <family val="0"/>
        <charset val="1"/>
      </rPr>
      <t xml:space="preserve">9 </t>
    </r>
    <r>
      <rPr>
        <sz val="9"/>
        <rFont val="WenQuanYi Zen Hei"/>
        <family val="2"/>
      </rPr>
      <t xml:space="preserve">点</t>
    </r>
  </si>
  <si>
    <t xml:space="preserve">問い： 浮いた時間はどこへ行ったか。二段・三段先とつながっているか。</t>
  </si>
  <si>
    <r>
      <rPr>
        <sz val="9"/>
        <rFont val="WenQuanYi Zen Hei"/>
        <family val="2"/>
      </rPr>
      <t xml:space="preserve">定義： </t>
    </r>
    <r>
      <rPr>
        <sz val="9"/>
        <rFont val="Consolas"/>
        <family val="0"/>
        <charset val="1"/>
      </rPr>
      <t xml:space="preserve">AI</t>
    </r>
    <r>
      <rPr>
        <sz val="9"/>
        <rFont val="WenQuanYi Zen Hei"/>
        <family val="2"/>
      </rPr>
      <t xml:space="preserve">で創出した時間・リソースを何に使ったのかが前面に出ているか。効率化して終わりではなく、考える仕事、現場の把握、人と話す時間といった再投資先が語られているか。二段・三段先のゴールに向かって、いま手元のものを変えている構造で説明できているか。業務や事業がどれだけ変わったかというビジネスインパクトも併せて見る。</t>
    </r>
  </si>
  <si>
    <r>
      <rPr>
        <sz val="9"/>
        <rFont val="WenQuanYi Zen Hei"/>
        <family val="2"/>
      </rPr>
      <t xml:space="preserve">  レベル</t>
    </r>
    <r>
      <rPr>
        <sz val="9"/>
        <rFont val="Consolas"/>
        <family val="0"/>
        <charset val="1"/>
      </rPr>
      <t xml:space="preserve">5</t>
    </r>
    <r>
      <rPr>
        <sz val="9"/>
        <rFont val="WenQuanYi Zen Hei"/>
        <family val="2"/>
      </rPr>
      <t xml:space="preserve">： 創出した時間・リソースの再投資先が具体的に語られ（考える仕事、現場把握、人と話す時間、次の打ち手）、二段・三段先のゴールに向けていま手元を変えている構造が説明されている。ビジネスインパクトも定量で示されている。</t>
    </r>
  </si>
  <si>
    <r>
      <rPr>
        <sz val="9"/>
        <rFont val="WenQuanYi Zen Hei"/>
        <family val="2"/>
      </rPr>
      <t xml:space="preserve">  レベル</t>
    </r>
    <r>
      <rPr>
        <sz val="9"/>
        <rFont val="Consolas"/>
        <family val="0"/>
        <charset val="1"/>
      </rPr>
      <t xml:space="preserve">4</t>
    </r>
    <r>
      <rPr>
        <sz val="9"/>
        <rFont val="WenQuanYi Zen Hei"/>
        <family val="2"/>
      </rPr>
      <t xml:space="preserve">： 効果が定量で示され、再投資先も述べられている。ただし先のゴールとの接続はやや弱い。</t>
    </r>
  </si>
  <si>
    <r>
      <rPr>
        <sz val="9"/>
        <rFont val="WenQuanYi Zen Hei"/>
        <family val="2"/>
      </rPr>
      <t xml:space="preserve">  レベル</t>
    </r>
    <r>
      <rPr>
        <sz val="9"/>
        <rFont val="Consolas"/>
        <family val="0"/>
        <charset val="1"/>
      </rPr>
      <t xml:space="preserve">3</t>
    </r>
    <r>
      <rPr>
        <sz val="9"/>
        <rFont val="WenQuanYi Zen Hei"/>
        <family val="2"/>
      </rPr>
      <t xml:space="preserve">： 効果は示されているが、浮いた時間の行き先が語られていない。</t>
    </r>
  </si>
  <si>
    <r>
      <rPr>
        <sz val="9"/>
        <rFont val="WenQuanYi Zen Hei"/>
        <family val="2"/>
      </rPr>
      <t xml:space="preserve">  レベル</t>
    </r>
    <r>
      <rPr>
        <sz val="9"/>
        <rFont val="Consolas"/>
        <family val="0"/>
        <charset val="1"/>
      </rPr>
      <t xml:space="preserve">2</t>
    </r>
    <r>
      <rPr>
        <sz val="9"/>
        <rFont val="WenQuanYi Zen Hei"/>
        <family val="2"/>
      </rPr>
      <t xml:space="preserve">： 効果が定性的・体感的な記述にとどまる。</t>
    </r>
  </si>
  <si>
    <r>
      <rPr>
        <sz val="9"/>
        <rFont val="WenQuanYi Zen Hei"/>
        <family val="2"/>
      </rPr>
      <t xml:space="preserve">  レベル</t>
    </r>
    <r>
      <rPr>
        <sz val="9"/>
        <rFont val="Consolas"/>
        <family val="0"/>
        <charset val="1"/>
      </rPr>
      <t xml:space="preserve">1</t>
    </r>
    <r>
      <rPr>
        <sz val="9"/>
        <rFont val="WenQuanYi Zen Hei"/>
        <family val="2"/>
      </rPr>
      <t xml:space="preserve">： 効果の記述がない、または「時短できた」で完結している。</t>
    </r>
  </si>
  <si>
    <r>
      <rPr>
        <sz val="9"/>
        <rFont val="WenQuanYi Zen Hei"/>
        <family val="2"/>
      </rPr>
      <t xml:space="preserve">    ◎ 伊藤 英啓（執行役員）… </t>
    </r>
    <r>
      <rPr>
        <sz val="9"/>
        <rFont val="Consolas"/>
        <family val="0"/>
        <charset val="1"/>
      </rPr>
      <t xml:space="preserve">AI</t>
    </r>
    <r>
      <rPr>
        <sz val="9"/>
        <rFont val="WenQuanYi Zen Hei"/>
        <family val="2"/>
      </rPr>
      <t xml:space="preserve">で創出した時間を何に使ったのか。二段・三段先のゴールに向かって手元を変えている構造</t>
    </r>
  </si>
  <si>
    <t xml:space="preserve">    ○ 伊藤 裕一（執行役員）… 創出された時間を考える仕事へ。現場の把握や、人と話す時間を増やすことに使えているか</t>
  </si>
  <si>
    <t xml:space="preserve">    ○ 中村 智之（執行役員）… 業務や事業がどれだけ変わったかというビジネスインパクト</t>
  </si>
  <si>
    <r>
      <rPr>
        <sz val="9"/>
        <rFont val="WenQuanYi Zen Hei"/>
        <family val="2"/>
      </rPr>
      <t xml:space="preserve">【</t>
    </r>
    <r>
      <rPr>
        <sz val="9"/>
        <rFont val="Consolas"/>
        <family val="0"/>
        <charset val="1"/>
      </rPr>
      <t xml:space="preserve">C6</t>
    </r>
    <r>
      <rPr>
        <sz val="9"/>
        <rFont val="WenQuanYi Zen Hei"/>
        <family val="2"/>
      </rPr>
      <t xml:space="preserve">】語りの当事者性と熱量　配点 </t>
    </r>
    <r>
      <rPr>
        <sz val="9"/>
        <rFont val="Consolas"/>
        <family val="0"/>
        <charset val="1"/>
      </rPr>
      <t xml:space="preserve">20 </t>
    </r>
    <r>
      <rPr>
        <sz val="9"/>
        <rFont val="WenQuanYi Zen Hei"/>
        <family val="2"/>
      </rPr>
      <t xml:space="preserve">点</t>
    </r>
  </si>
  <si>
    <t xml:space="preserve">問い： 本人の言葉か。借り物の言葉か。聞き手が引き込まれるか。</t>
  </si>
  <si>
    <t xml:space="preserve">定義： 取り組みを自分の言葉で語れる人が前に立っているか。成果の大小にかかわらず、「これは良かった」と自ら共有したくなる熱量があるか。自分なりの工夫を言語化し、周囲に伝播させられているか。聞き手が思わず引き込まれる面白さ・驚き・ワクワク感があるか。</t>
  </si>
  <si>
    <r>
      <rPr>
        <sz val="9"/>
        <rFont val="WenQuanYi Zen Hei"/>
        <family val="2"/>
      </rPr>
      <t xml:space="preserve">  レベル</t>
    </r>
    <r>
      <rPr>
        <sz val="9"/>
        <rFont val="Consolas"/>
        <family val="0"/>
        <charset val="1"/>
      </rPr>
      <t xml:space="preserve">5</t>
    </r>
    <r>
      <rPr>
        <sz val="9"/>
        <rFont val="WenQuanYi Zen Hei"/>
        <family val="2"/>
      </rPr>
      <t xml:space="preserve">： 部門長本人が自分の言葉で語り、工夫や判断の理由を言語化できている。共有したくなる熱量があり、聞き手を引き込む面白さ・驚きがある。手を動かした当事者が前に立っている。</t>
    </r>
  </si>
  <si>
    <r>
      <rPr>
        <sz val="9"/>
        <rFont val="WenQuanYi Zen Hei"/>
        <family val="2"/>
      </rPr>
      <t xml:space="preserve">  レベル</t>
    </r>
    <r>
      <rPr>
        <sz val="9"/>
        <rFont val="Consolas"/>
        <family val="0"/>
        <charset val="1"/>
      </rPr>
      <t xml:space="preserve">4</t>
    </r>
    <r>
      <rPr>
        <sz val="9"/>
        <rFont val="WenQuanYi Zen Hei"/>
        <family val="2"/>
      </rPr>
      <t xml:space="preserve">： 自分の言葉で語れており、熱量が伝わる。言語化も概ねできている。</t>
    </r>
  </si>
  <si>
    <r>
      <rPr>
        <sz val="9"/>
        <rFont val="WenQuanYi Zen Hei"/>
        <family val="2"/>
      </rPr>
      <t xml:space="preserve">  レベル</t>
    </r>
    <r>
      <rPr>
        <sz val="9"/>
        <rFont val="Consolas"/>
        <family val="0"/>
        <charset val="1"/>
      </rPr>
      <t xml:space="preserve">3</t>
    </r>
    <r>
      <rPr>
        <sz val="9"/>
        <rFont val="WenQuanYi Zen Hei"/>
        <family val="2"/>
      </rPr>
      <t xml:space="preserve">： 内容は整理されているが借り物の言葉が混じり、熱量が読み取りにくい。</t>
    </r>
  </si>
  <si>
    <r>
      <rPr>
        <sz val="9"/>
        <rFont val="WenQuanYi Zen Hei"/>
        <family val="2"/>
      </rPr>
      <t xml:space="preserve">  レベル</t>
    </r>
    <r>
      <rPr>
        <sz val="9"/>
        <rFont val="Consolas"/>
        <family val="0"/>
        <charset val="1"/>
      </rPr>
      <t xml:space="preserve">2</t>
    </r>
    <r>
      <rPr>
        <sz val="9"/>
        <rFont val="WenQuanYi Zen Hei"/>
        <family val="2"/>
      </rPr>
      <t xml:space="preserve">： 報告調で、当事者の顔が見えない。</t>
    </r>
  </si>
  <si>
    <r>
      <rPr>
        <sz val="9"/>
        <rFont val="WenQuanYi Zen Hei"/>
        <family val="2"/>
      </rPr>
      <t xml:space="preserve">  レベル</t>
    </r>
    <r>
      <rPr>
        <sz val="9"/>
        <rFont val="Consolas"/>
        <family val="0"/>
        <charset val="1"/>
      </rPr>
      <t xml:space="preserve">1</t>
    </r>
    <r>
      <rPr>
        <sz val="9"/>
        <rFont val="WenQuanYi Zen Hei"/>
        <family val="2"/>
      </rPr>
      <t xml:space="preserve">： 代理や資料の引き写しで、本人の言葉がまったくない。</t>
    </r>
  </si>
  <si>
    <t xml:space="preserve">    ◎ 上坂 貴志（取締役専務執行役員）… 取り組みを自分の言葉で語れる人が前に立っているか</t>
  </si>
  <si>
    <t xml:space="preserve">    ◎ 牧田 幸弘（代表取締役社長）… 成果の大きさだけでなく、その熱量。両面を体現できているか</t>
  </si>
  <si>
    <t xml:space="preserve">    ○ 牧田 幸弘（代表取締役社長）… 自分自身の言葉で価値を語れるか。自ら共有したくなる熱量</t>
  </si>
  <si>
    <t xml:space="preserve">    ○ 上坂 貴志（取締役専務執行役員）… 聞き手が思わず引き込まれる可能性、面白さ、ワクワク感、驚き</t>
  </si>
  <si>
    <r>
      <rPr>
        <sz val="9"/>
        <rFont val="WenQuanYi Zen Hei"/>
        <family val="2"/>
      </rPr>
      <t xml:space="preserve">    ○ 中山 高史（執行役員 </t>
    </r>
    <r>
      <rPr>
        <sz val="9"/>
        <rFont val="Consolas"/>
        <family val="0"/>
        <charset val="1"/>
      </rPr>
      <t xml:space="preserve">/ AIexe </t>
    </r>
    <r>
      <rPr>
        <sz val="9"/>
        <rFont val="WenQuanYi Zen Hei"/>
        <family val="2"/>
      </rPr>
      <t xml:space="preserve">代表取締役社長）… 自分なりの工夫を言語化できているか</t>
    </r>
  </si>
  <si>
    <t xml:space="preserve">    ○ 前田 憲仁（執行役員）… 体験を言語化して、周囲に伝播させているレベルに到達しているか</t>
  </si>
  <si>
    <t xml:space="preserve">    ○ 勝田 耕平（取締役常務執行役員）… 本人が楽しみながら新しいことに踏み出しているか</t>
  </si>
  <si>
    <t xml:space="preserve">■ 前提フラグ（該当したら該当観点に上限をかける。加点には使わない）</t>
  </si>
  <si>
    <r>
      <rPr>
        <sz val="9"/>
        <rFont val="Consolas"/>
        <family val="0"/>
        <charset val="1"/>
      </rPr>
      <t xml:space="preserve">F1 </t>
    </r>
    <r>
      <rPr>
        <sz val="9"/>
        <rFont val="WenQuanYi Zen Hei"/>
        <family val="2"/>
      </rPr>
      <t xml:space="preserve">生産性向上の数値のみ</t>
    </r>
  </si>
  <si>
    <t xml:space="preserve">　見分け方： 時短・削減の数値は並ぶが、文化・浸透・参加率に関する記述がない。</t>
  </si>
  <si>
    <r>
      <rPr>
        <sz val="9"/>
        <rFont val="WenQuanYi Zen Hei"/>
        <family val="2"/>
      </rPr>
      <t xml:space="preserve">　かかる上限： </t>
    </r>
    <r>
      <rPr>
        <sz val="9"/>
        <rFont val="Consolas"/>
        <family val="0"/>
        <charset val="1"/>
      </rPr>
      <t xml:space="preserve">C2</t>
    </r>
    <r>
      <rPr>
        <sz val="9"/>
        <rFont val="WenQuanYi Zen Hei"/>
        <family val="2"/>
      </rPr>
      <t xml:space="preserve">（組織浸透）はレベル</t>
    </r>
    <r>
      <rPr>
        <sz val="9"/>
        <rFont val="Consolas"/>
        <family val="0"/>
        <charset val="1"/>
      </rPr>
      <t xml:space="preserve">3</t>
    </r>
    <r>
      <rPr>
        <sz val="9"/>
        <rFont val="WenQuanYi Zen Hei"/>
        <family val="2"/>
      </rPr>
      <t xml:space="preserve">以下</t>
    </r>
  </si>
  <si>
    <r>
      <rPr>
        <sz val="9"/>
        <rFont val="WenQuanYi Zen Hei"/>
        <family val="2"/>
      </rPr>
      <t xml:space="preserve">　根拠： 櫻田 浩：生産性向上につながる活用は重要だが、それは企業として取り組むべき前提。／ 中山 高史：何を</t>
    </r>
    <r>
      <rPr>
        <sz val="9"/>
        <rFont val="Consolas"/>
        <family val="0"/>
        <charset val="1"/>
      </rPr>
      <t xml:space="preserve">AI</t>
    </r>
    <r>
      <rPr>
        <sz val="9"/>
        <rFont val="WenQuanYi Zen Hei"/>
        <family val="2"/>
      </rPr>
      <t xml:space="preserve">で実現したかよりも、部門にどのような文化を醸成できたか。</t>
    </r>
  </si>
  <si>
    <r>
      <rPr>
        <sz val="9"/>
        <rFont val="Consolas"/>
        <family val="0"/>
        <charset val="1"/>
      </rPr>
      <t xml:space="preserve">F2 </t>
    </r>
    <r>
      <rPr>
        <sz val="9"/>
        <rFont val="WenQuanYi Zen Hei"/>
        <family val="2"/>
      </rPr>
      <t xml:space="preserve">特定個人</t>
    </r>
    <r>
      <rPr>
        <sz val="9"/>
        <rFont val="Consolas"/>
        <family val="0"/>
        <charset val="1"/>
      </rPr>
      <t xml:space="preserve">1</t>
    </r>
    <r>
      <rPr>
        <sz val="9"/>
        <rFont val="WenQuanYi Zen Hei"/>
        <family val="2"/>
      </rPr>
      <t xml:space="preserve">名の成果</t>
    </r>
  </si>
  <si>
    <r>
      <rPr>
        <sz val="9"/>
        <rFont val="WenQuanYi Zen Hei"/>
        <family val="2"/>
      </rPr>
      <t xml:space="preserve">　見分け方： 登場する実行者が実質</t>
    </r>
    <r>
      <rPr>
        <sz val="9"/>
        <rFont val="Consolas"/>
        <family val="0"/>
        <charset val="1"/>
      </rPr>
      <t xml:space="preserve">1</t>
    </r>
    <r>
      <rPr>
        <sz val="9"/>
        <rFont val="WenQuanYi Zen Hei"/>
        <family val="2"/>
      </rPr>
      <t xml:space="preserve">名で、部門への広がりも仕組みも語られていない。</t>
    </r>
  </si>
  <si>
    <r>
      <rPr>
        <sz val="9"/>
        <rFont val="WenQuanYi Zen Hei"/>
        <family val="2"/>
      </rPr>
      <t xml:space="preserve">　かかる上限： </t>
    </r>
    <r>
      <rPr>
        <sz val="9"/>
        <rFont val="Consolas"/>
        <family val="0"/>
        <charset val="1"/>
      </rPr>
      <t xml:space="preserve">C2</t>
    </r>
    <r>
      <rPr>
        <sz val="9"/>
        <rFont val="WenQuanYi Zen Hei"/>
        <family val="2"/>
      </rPr>
      <t xml:space="preserve">（組織浸透）はレベル</t>
    </r>
    <r>
      <rPr>
        <sz val="9"/>
        <rFont val="Consolas"/>
        <family val="0"/>
        <charset val="1"/>
      </rPr>
      <t xml:space="preserve">2</t>
    </r>
    <r>
      <rPr>
        <sz val="9"/>
        <rFont val="WenQuanYi Zen Hei"/>
        <family val="2"/>
      </rPr>
      <t xml:space="preserve">以下、</t>
    </r>
    <r>
      <rPr>
        <sz val="9"/>
        <rFont val="Consolas"/>
        <family val="0"/>
        <charset val="1"/>
      </rPr>
      <t xml:space="preserve">C3</t>
    </r>
    <r>
      <rPr>
        <sz val="9"/>
        <rFont val="WenQuanYi Zen Hei"/>
        <family val="2"/>
      </rPr>
      <t xml:space="preserve">（仕組み化・資産化）はレベル</t>
    </r>
    <r>
      <rPr>
        <sz val="9"/>
        <rFont val="Consolas"/>
        <family val="0"/>
        <charset val="1"/>
      </rPr>
      <t xml:space="preserve">2</t>
    </r>
    <r>
      <rPr>
        <sz val="9"/>
        <rFont val="WenQuanYi Zen Hei"/>
        <family val="2"/>
      </rPr>
      <t xml:space="preserve">以下</t>
    </r>
  </si>
  <si>
    <t xml:space="preserve">　根拠： 伊藤 裕一：特定の誰かに頼るのではなく、チーム全員を巻き込んで。／ 松尾 邦孝：個人の熱意に依存しているのか、組織として自律的に回っているのか。</t>
  </si>
  <si>
    <r>
      <rPr>
        <sz val="9"/>
        <rFont val="Consolas"/>
        <family val="0"/>
        <charset val="1"/>
      </rPr>
      <t xml:space="preserve">F3 </t>
    </r>
    <r>
      <rPr>
        <sz val="9"/>
        <rFont val="WenQuanYi Zen Hei"/>
        <family val="2"/>
      </rPr>
      <t xml:space="preserve">ツール導入・</t>
    </r>
    <r>
      <rPr>
        <sz val="9"/>
        <rFont val="Consolas"/>
        <family val="0"/>
        <charset val="1"/>
      </rPr>
      <t xml:space="preserve">PoC</t>
    </r>
    <r>
      <rPr>
        <sz val="9"/>
        <rFont val="WenQuanYi Zen Hei"/>
        <family val="2"/>
      </rPr>
      <t xml:space="preserve">止まり</t>
    </r>
  </si>
  <si>
    <t xml:space="preserve">　見分け方： 導入した／試したという報告で終わり、業務そのものの変化が示されていない。</t>
  </si>
  <si>
    <r>
      <rPr>
        <sz val="9"/>
        <rFont val="WenQuanYi Zen Hei"/>
        <family val="2"/>
      </rPr>
      <t xml:space="preserve">　かかる上限： </t>
    </r>
    <r>
      <rPr>
        <sz val="9"/>
        <rFont val="Consolas"/>
        <family val="0"/>
        <charset val="1"/>
      </rPr>
      <t xml:space="preserve">C1</t>
    </r>
    <r>
      <rPr>
        <sz val="9"/>
        <rFont val="WenQuanYi Zen Hei"/>
        <family val="2"/>
      </rPr>
      <t xml:space="preserve">（業務再設計）はレベル</t>
    </r>
    <r>
      <rPr>
        <sz val="9"/>
        <rFont val="Consolas"/>
        <family val="0"/>
        <charset val="1"/>
      </rPr>
      <t xml:space="preserve">2</t>
    </r>
    <r>
      <rPr>
        <sz val="9"/>
        <rFont val="WenQuanYi Zen Hei"/>
        <family val="2"/>
      </rPr>
      <t xml:space="preserve">以下</t>
    </r>
  </si>
  <si>
    <r>
      <rPr>
        <sz val="9"/>
        <rFont val="WenQuanYi Zen Hei"/>
        <family val="2"/>
      </rPr>
      <t xml:space="preserve">　根拠： 前田 憲仁：</t>
    </r>
    <r>
      <rPr>
        <sz val="9"/>
        <rFont val="Consolas"/>
        <family val="0"/>
        <charset val="1"/>
      </rPr>
      <t xml:space="preserve">AI</t>
    </r>
    <r>
      <rPr>
        <sz val="9"/>
        <rFont val="WenQuanYi Zen Hei"/>
        <family val="2"/>
      </rPr>
      <t xml:space="preserve">を付加的に活用するのではなく、業務プロセス自体を見直せているか。／ 中村 智之：</t>
    </r>
    <r>
      <rPr>
        <sz val="9"/>
        <rFont val="Consolas"/>
        <family val="0"/>
        <charset val="1"/>
      </rPr>
      <t xml:space="preserve">AI</t>
    </r>
    <r>
      <rPr>
        <sz val="9"/>
        <rFont val="WenQuanYi Zen Hei"/>
        <family val="2"/>
      </rPr>
      <t xml:space="preserve">を使ったこと自体ではなく、その結果として業務や事業がどれだけ変わったか。</t>
    </r>
  </si>
  <si>
    <r>
      <rPr>
        <sz val="9"/>
        <rFont val="Consolas"/>
        <family val="0"/>
        <charset val="1"/>
      </rPr>
      <t xml:space="preserve">F4 </t>
    </r>
    <r>
      <rPr>
        <sz val="9"/>
        <rFont val="WenQuanYi Zen Hei"/>
        <family val="2"/>
      </rPr>
      <t xml:space="preserve">本人の言葉でない</t>
    </r>
  </si>
  <si>
    <t xml:space="preserve">　見分け方： 部門長本人の一人称の語りがなく、事務局資料や代理者の説明の引き写しになっている。</t>
  </si>
  <si>
    <r>
      <rPr>
        <sz val="9"/>
        <rFont val="WenQuanYi Zen Hei"/>
        <family val="2"/>
      </rPr>
      <t xml:space="preserve">　かかる上限： </t>
    </r>
    <r>
      <rPr>
        <sz val="9"/>
        <rFont val="Consolas"/>
        <family val="0"/>
        <charset val="1"/>
      </rPr>
      <t xml:space="preserve">C6</t>
    </r>
    <r>
      <rPr>
        <sz val="9"/>
        <rFont val="WenQuanYi Zen Hei"/>
        <family val="2"/>
      </rPr>
      <t xml:space="preserve">（当事者性と熱量）はレベル</t>
    </r>
    <r>
      <rPr>
        <sz val="9"/>
        <rFont val="Consolas"/>
        <family val="0"/>
        <charset val="1"/>
      </rPr>
      <t xml:space="preserve">2</t>
    </r>
    <r>
      <rPr>
        <sz val="9"/>
        <rFont val="WenQuanYi Zen Hei"/>
        <family val="2"/>
      </rPr>
      <t xml:space="preserve">以下</t>
    </r>
  </si>
  <si>
    <t xml:space="preserve">　根拠： 上坂 貴志：取り組みを自分の言葉で語れる人が前に立っているか。／ 牧田 幸弘：自分自身の言葉で価値を語れるかどうか。</t>
  </si>
  <si>
    <t xml:space="preserve">■ 総合判定</t>
  </si>
  <si>
    <r>
      <rPr>
        <sz val="9"/>
        <rFont val="Consolas"/>
        <family val="0"/>
        <charset val="1"/>
      </rPr>
      <t xml:space="preserve">  S</t>
    </r>
    <r>
      <rPr>
        <sz val="9"/>
        <rFont val="WenQuanYi Zen Hei"/>
        <family val="2"/>
      </rPr>
      <t xml:space="preserve">（</t>
    </r>
    <r>
      <rPr>
        <sz val="9"/>
        <rFont val="Consolas"/>
        <family val="0"/>
        <charset val="1"/>
      </rPr>
      <t xml:space="preserve">80</t>
    </r>
    <r>
      <rPr>
        <sz val="9"/>
        <rFont val="WenQuanYi Zen Hei"/>
        <family val="2"/>
      </rPr>
      <t xml:space="preserve">点以上）： グランドフィナーレ最有力。</t>
    </r>
    <r>
      <rPr>
        <sz val="9"/>
        <rFont val="Consolas"/>
        <family val="0"/>
        <charset val="1"/>
      </rPr>
      <t xml:space="preserve">6</t>
    </r>
    <r>
      <rPr>
        <sz val="9"/>
        <rFont val="WenQuanYi Zen Hei"/>
        <family val="2"/>
      </rPr>
      <t xml:space="preserve">観点のいずれにも穴がない。</t>
    </r>
  </si>
  <si>
    <r>
      <rPr>
        <sz val="9"/>
        <rFont val="Consolas"/>
        <family val="0"/>
        <charset val="1"/>
      </rPr>
      <t xml:space="preserve">  A</t>
    </r>
    <r>
      <rPr>
        <sz val="9"/>
        <rFont val="WenQuanYi Zen Hei"/>
        <family val="2"/>
      </rPr>
      <t xml:space="preserve">（</t>
    </r>
    <r>
      <rPr>
        <sz val="9"/>
        <rFont val="Consolas"/>
        <family val="0"/>
        <charset val="1"/>
      </rPr>
      <t xml:space="preserve">65</t>
    </r>
    <r>
      <rPr>
        <sz val="9"/>
        <rFont val="WenQuanYi Zen Hei"/>
        <family val="2"/>
      </rPr>
      <t xml:space="preserve">点以上）： 通過候補。人手審査へ回す。</t>
    </r>
  </si>
  <si>
    <r>
      <rPr>
        <sz val="9"/>
        <rFont val="Consolas"/>
        <family val="0"/>
        <charset val="1"/>
      </rPr>
      <t xml:space="preserve">  B</t>
    </r>
    <r>
      <rPr>
        <sz val="9"/>
        <rFont val="WenQuanYi Zen Hei"/>
        <family val="2"/>
      </rPr>
      <t xml:space="preserve">（</t>
    </r>
    <r>
      <rPr>
        <sz val="9"/>
        <rFont val="Consolas"/>
        <family val="0"/>
        <charset val="1"/>
      </rPr>
      <t xml:space="preserve">50</t>
    </r>
    <r>
      <rPr>
        <sz val="9"/>
        <rFont val="WenQuanYi Zen Hei"/>
        <family val="2"/>
      </rPr>
      <t xml:space="preserve">点以上）： 要議論。強い観点があれば人手審査で拾い上げる。</t>
    </r>
  </si>
  <si>
    <r>
      <rPr>
        <sz val="9"/>
        <rFont val="Consolas"/>
        <family val="0"/>
        <charset val="1"/>
      </rPr>
      <t xml:space="preserve">  C</t>
    </r>
    <r>
      <rPr>
        <sz val="9"/>
        <rFont val="WenQuanYi Zen Hei"/>
        <family val="2"/>
      </rPr>
      <t xml:space="preserve">（</t>
    </r>
    <r>
      <rPr>
        <sz val="9"/>
        <rFont val="Consolas"/>
        <family val="0"/>
        <charset val="1"/>
      </rPr>
      <t xml:space="preserve">50</t>
    </r>
    <r>
      <rPr>
        <sz val="9"/>
        <rFont val="WenQuanYi Zen Hei"/>
        <family val="2"/>
      </rPr>
      <t xml:space="preserve">点未満）： 予備審査で見送り。</t>
    </r>
  </si>
  <si>
    <r>
      <rPr>
        <sz val="9"/>
        <rFont val="WenQuanYi Zen Hei"/>
        <family val="2"/>
      </rPr>
      <t xml:space="preserve">同点時のタイブレークは次の順で比較する： </t>
    </r>
    <r>
      <rPr>
        <sz val="9"/>
        <rFont val="Consolas"/>
        <family val="0"/>
        <charset val="1"/>
      </rPr>
      <t xml:space="preserve">C2 </t>
    </r>
    <r>
      <rPr>
        <sz val="9"/>
        <rFont val="WenQuanYi Zen Hei"/>
        <family val="2"/>
      </rPr>
      <t xml:space="preserve">組織浸透 → </t>
    </r>
    <r>
      <rPr>
        <sz val="9"/>
        <rFont val="Consolas"/>
        <family val="0"/>
        <charset val="1"/>
      </rPr>
      <t xml:space="preserve">C4 </t>
    </r>
    <r>
      <rPr>
        <sz val="9"/>
        <rFont val="WenQuanYi Zen Hei"/>
        <family val="2"/>
      </rPr>
      <t xml:space="preserve">波及と視座 → </t>
    </r>
    <r>
      <rPr>
        <sz val="9"/>
        <rFont val="Consolas"/>
        <family val="0"/>
        <charset val="1"/>
      </rPr>
      <t xml:space="preserve">C1 </t>
    </r>
    <r>
      <rPr>
        <sz val="9"/>
        <rFont val="WenQuanYi Zen Hei"/>
        <family val="2"/>
      </rPr>
      <t xml:space="preserve">業務再設計 → </t>
    </r>
    <r>
      <rPr>
        <sz val="9"/>
        <rFont val="Consolas"/>
        <family val="0"/>
        <charset val="1"/>
      </rPr>
      <t xml:space="preserve">C6 </t>
    </r>
    <r>
      <rPr>
        <sz val="9"/>
        <rFont val="WenQuanYi Zen Hei"/>
        <family val="2"/>
      </rPr>
      <t xml:space="preserve">当事者性と熱量</t>
    </r>
  </si>
  <si>
    <r>
      <rPr>
        <sz val="9"/>
        <rFont val="WenQuanYi Zen Hei"/>
        <family val="2"/>
      </rPr>
      <t xml:space="preserve">■ 出力形式（この </t>
    </r>
    <r>
      <rPr>
        <sz val="9"/>
        <rFont val="Consolas"/>
        <family val="0"/>
        <charset val="1"/>
      </rPr>
      <t xml:space="preserve">JSON </t>
    </r>
    <r>
      <rPr>
        <sz val="9"/>
        <rFont val="WenQuanYi Zen Hei"/>
        <family val="2"/>
      </rPr>
      <t xml:space="preserve">だけを返す。前置きも後書きも書かない）</t>
    </r>
  </si>
  <si>
    <t xml:space="preserve">{</t>
  </si>
  <si>
    <r>
      <rPr>
        <sz val="9"/>
        <rFont val="Consolas"/>
        <family val="0"/>
        <charset val="1"/>
      </rPr>
      <t xml:space="preserve">  "</t>
    </r>
    <r>
      <rPr>
        <sz val="9"/>
        <rFont val="WenQuanYi Zen Hei"/>
        <family val="2"/>
      </rPr>
      <t xml:space="preserve">部門名</t>
    </r>
    <r>
      <rPr>
        <sz val="9"/>
        <rFont val="Consolas"/>
        <family val="0"/>
        <charset val="1"/>
      </rPr>
      <t xml:space="preserve">": "</t>
    </r>
    <r>
      <rPr>
        <sz val="9"/>
        <rFont val="WenQuanYi Zen Hei"/>
        <family val="2"/>
      </rPr>
      <t xml:space="preserve">応募資料に記載された部門名</t>
    </r>
    <r>
      <rPr>
        <sz val="9"/>
        <rFont val="Consolas"/>
        <family val="0"/>
        <charset val="1"/>
      </rPr>
      <t xml:space="preserve">",</t>
    </r>
  </si>
  <si>
    <r>
      <rPr>
        <sz val="9"/>
        <rFont val="Consolas"/>
        <family val="0"/>
        <charset val="1"/>
      </rPr>
      <t xml:space="preserve">  "</t>
    </r>
    <r>
      <rPr>
        <sz val="9"/>
        <rFont val="WenQuanYi Zen Hei"/>
        <family val="2"/>
      </rPr>
      <t xml:space="preserve">部門長</t>
    </r>
    <r>
      <rPr>
        <sz val="9"/>
        <rFont val="Consolas"/>
        <family val="0"/>
        <charset val="1"/>
      </rPr>
      <t xml:space="preserve">": "</t>
    </r>
    <r>
      <rPr>
        <sz val="9"/>
        <rFont val="WenQuanYi Zen Hei"/>
        <family val="2"/>
      </rPr>
      <t xml:space="preserve">応募資料に記載された部門長名（不明なら空文字）</t>
    </r>
    <r>
      <rPr>
        <sz val="9"/>
        <rFont val="Consolas"/>
        <family val="0"/>
        <charset val="1"/>
      </rPr>
      <t xml:space="preserve">",</t>
    </r>
  </si>
  <si>
    <r>
      <rPr>
        <sz val="9"/>
        <rFont val="Consolas"/>
        <family val="0"/>
        <charset val="1"/>
      </rPr>
      <t xml:space="preserve">  "</t>
    </r>
    <r>
      <rPr>
        <sz val="9"/>
        <rFont val="WenQuanYi Zen Hei"/>
        <family val="2"/>
      </rPr>
      <t xml:space="preserve">観点</t>
    </r>
    <r>
      <rPr>
        <sz val="9"/>
        <rFont val="Consolas"/>
        <family val="0"/>
        <charset val="1"/>
      </rPr>
      <t xml:space="preserve">": [</t>
    </r>
  </si>
  <si>
    <t xml:space="preserve">    {</t>
  </si>
  <si>
    <t xml:space="preserve">      "id": "C1",</t>
  </si>
  <si>
    <r>
      <rPr>
        <sz val="9"/>
        <rFont val="Consolas"/>
        <family val="0"/>
        <charset val="1"/>
      </rPr>
      <t xml:space="preserve">      "</t>
    </r>
    <r>
      <rPr>
        <sz val="9"/>
        <rFont val="WenQuanYi Zen Hei"/>
        <family val="2"/>
      </rPr>
      <t xml:space="preserve">名称</t>
    </r>
    <r>
      <rPr>
        <sz val="9"/>
        <rFont val="Consolas"/>
        <family val="0"/>
        <charset val="1"/>
      </rPr>
      <t xml:space="preserve">": "</t>
    </r>
    <r>
      <rPr>
        <sz val="9"/>
        <rFont val="WenQuanYi Zen Hei"/>
        <family val="2"/>
      </rPr>
      <t xml:space="preserve">業務そのものの再設計と「やめる」判断</t>
    </r>
    <r>
      <rPr>
        <sz val="9"/>
        <rFont val="Consolas"/>
        <family val="0"/>
        <charset val="1"/>
      </rPr>
      <t xml:space="preserve">",</t>
    </r>
  </si>
  <si>
    <r>
      <rPr>
        <sz val="9"/>
        <rFont val="Consolas"/>
        <family val="0"/>
        <charset val="1"/>
      </rPr>
      <t xml:space="preserve">      "</t>
    </r>
    <r>
      <rPr>
        <sz val="9"/>
        <rFont val="WenQuanYi Zen Hei"/>
        <family val="2"/>
      </rPr>
      <t xml:space="preserve">レベル</t>
    </r>
    <r>
      <rPr>
        <sz val="9"/>
        <rFont val="Consolas"/>
        <family val="0"/>
        <charset val="1"/>
      </rPr>
      <t xml:space="preserve">": "1</t>
    </r>
    <r>
      <rPr>
        <sz val="9"/>
        <rFont val="WenQuanYi Zen Hei"/>
        <family val="2"/>
      </rPr>
      <t xml:space="preserve">〜</t>
    </r>
    <r>
      <rPr>
        <sz val="9"/>
        <rFont val="Consolas"/>
        <family val="0"/>
        <charset val="1"/>
      </rPr>
      <t xml:space="preserve">5 </t>
    </r>
    <r>
      <rPr>
        <sz val="9"/>
        <rFont val="WenQuanYi Zen Hei"/>
        <family val="2"/>
      </rPr>
      <t xml:space="preserve">の整数</t>
    </r>
    <r>
      <rPr>
        <sz val="9"/>
        <rFont val="Consolas"/>
        <family val="0"/>
        <charset val="1"/>
      </rPr>
      <t xml:space="preserve">",</t>
    </r>
  </si>
  <si>
    <r>
      <rPr>
        <sz val="9"/>
        <rFont val="Consolas"/>
        <family val="0"/>
        <charset val="1"/>
      </rPr>
      <t xml:space="preserve">      "</t>
    </r>
    <r>
      <rPr>
        <sz val="9"/>
        <rFont val="WenQuanYi Zen Hei"/>
        <family val="2"/>
      </rPr>
      <t xml:space="preserve">配点</t>
    </r>
    <r>
      <rPr>
        <sz val="9"/>
        <rFont val="Consolas"/>
        <family val="0"/>
        <charset val="1"/>
      </rPr>
      <t xml:space="preserve">": 18,</t>
    </r>
  </si>
  <si>
    <r>
      <rPr>
        <sz val="9"/>
        <rFont val="Consolas"/>
        <family val="0"/>
        <charset val="1"/>
      </rPr>
      <t xml:space="preserve">      "</t>
    </r>
    <r>
      <rPr>
        <sz val="9"/>
        <rFont val="WenQuanYi Zen Hei"/>
        <family val="2"/>
      </rPr>
      <t xml:space="preserve">加重得点</t>
    </r>
    <r>
      <rPr>
        <sz val="9"/>
        <rFont val="Consolas"/>
        <family val="0"/>
        <charset val="1"/>
      </rPr>
      <t xml:space="preserve">": "</t>
    </r>
    <r>
      <rPr>
        <sz val="9"/>
        <rFont val="WenQuanYi Zen Hei"/>
        <family val="2"/>
      </rPr>
      <t xml:space="preserve">レベル </t>
    </r>
    <r>
      <rPr>
        <sz val="9"/>
        <rFont val="Consolas"/>
        <family val="0"/>
        <charset val="1"/>
      </rPr>
      <t xml:space="preserve">÷ 5 × </t>
    </r>
    <r>
      <rPr>
        <sz val="9"/>
        <rFont val="WenQuanYi Zen Hei"/>
        <family val="2"/>
      </rPr>
      <t xml:space="preserve">配点（小数第</t>
    </r>
    <r>
      <rPr>
        <sz val="9"/>
        <rFont val="Consolas"/>
        <family val="0"/>
        <charset val="1"/>
      </rPr>
      <t xml:space="preserve">1</t>
    </r>
    <r>
      <rPr>
        <sz val="9"/>
        <rFont val="WenQuanYi Zen Hei"/>
        <family val="2"/>
      </rPr>
      <t xml:space="preserve">位まで）</t>
    </r>
    <r>
      <rPr>
        <sz val="9"/>
        <rFont val="Consolas"/>
        <family val="0"/>
        <charset val="1"/>
      </rPr>
      <t xml:space="preserve">",</t>
    </r>
  </si>
  <si>
    <r>
      <rPr>
        <sz val="9"/>
        <rFont val="Consolas"/>
        <family val="0"/>
        <charset val="1"/>
      </rPr>
      <t xml:space="preserve">      "</t>
    </r>
    <r>
      <rPr>
        <sz val="9"/>
        <rFont val="WenQuanYi Zen Hei"/>
        <family val="2"/>
      </rPr>
      <t xml:space="preserve">根拠</t>
    </r>
    <r>
      <rPr>
        <sz val="9"/>
        <rFont val="Consolas"/>
        <family val="0"/>
        <charset val="1"/>
      </rPr>
      <t xml:space="preserve">": "</t>
    </r>
    <r>
      <rPr>
        <sz val="9"/>
        <rFont val="WenQuanYi Zen Hei"/>
        <family val="2"/>
      </rPr>
      <t xml:space="preserve">応募資料からの原文引用（</t>
    </r>
    <r>
      <rPr>
        <sz val="9"/>
        <rFont val="Consolas"/>
        <family val="0"/>
        <charset val="1"/>
      </rPr>
      <t xml:space="preserve">1</t>
    </r>
    <r>
      <rPr>
        <sz val="9"/>
        <rFont val="WenQuanYi Zen Hei"/>
        <family val="2"/>
      </rPr>
      <t xml:space="preserve">〜</t>
    </r>
    <r>
      <rPr>
        <sz val="9"/>
        <rFont val="Consolas"/>
        <family val="0"/>
        <charset val="1"/>
      </rPr>
      <t xml:space="preserve">2</t>
    </r>
    <r>
      <rPr>
        <sz val="9"/>
        <rFont val="WenQuanYi Zen Hei"/>
        <family val="2"/>
      </rPr>
      <t xml:space="preserve">箇所）</t>
    </r>
    <r>
      <rPr>
        <sz val="9"/>
        <rFont val="Consolas"/>
        <family val="0"/>
        <charset val="1"/>
      </rPr>
      <t xml:space="preserve">",</t>
    </r>
  </si>
  <si>
    <r>
      <rPr>
        <sz val="9"/>
        <rFont val="Consolas"/>
        <family val="0"/>
        <charset val="1"/>
      </rPr>
      <t xml:space="preserve">      "</t>
    </r>
    <r>
      <rPr>
        <sz val="9"/>
        <rFont val="WenQuanYi Zen Hei"/>
        <family val="2"/>
      </rPr>
      <t xml:space="preserve">そのレベルにした理由</t>
    </r>
    <r>
      <rPr>
        <sz val="9"/>
        <rFont val="Consolas"/>
        <family val="0"/>
        <charset val="1"/>
      </rPr>
      <t xml:space="preserve">": "1</t>
    </r>
    <r>
      <rPr>
        <sz val="9"/>
        <rFont val="WenQuanYi Zen Hei"/>
        <family val="2"/>
      </rPr>
      <t xml:space="preserve">〜</t>
    </r>
    <r>
      <rPr>
        <sz val="9"/>
        <rFont val="Consolas"/>
        <family val="0"/>
        <charset val="1"/>
      </rPr>
      <t xml:space="preserve">2</t>
    </r>
    <r>
      <rPr>
        <sz val="9"/>
        <rFont val="WenQuanYi Zen Hei"/>
        <family val="2"/>
      </rPr>
      <t xml:space="preserve">文。</t>
    </r>
    <r>
      <rPr>
        <sz val="9"/>
        <rFont val="Consolas"/>
        <family val="0"/>
        <charset val="1"/>
      </rPr>
      <t xml:space="preserve">1</t>
    </r>
    <r>
      <rPr>
        <sz val="9"/>
        <rFont val="WenQuanYi Zen Hei"/>
        <family val="2"/>
      </rPr>
      <t xml:space="preserve">つ上のレベルに届かなかった理由を必ず含める</t>
    </r>
    <r>
      <rPr>
        <sz val="9"/>
        <rFont val="Consolas"/>
        <family val="0"/>
        <charset val="1"/>
      </rPr>
      <t xml:space="preserve">"</t>
    </r>
  </si>
  <si>
    <t xml:space="preserve">    },</t>
  </si>
  <si>
    <t xml:space="preserve">      "id": "C2",</t>
  </si>
  <si>
    <r>
      <rPr>
        <sz val="9"/>
        <rFont val="Consolas"/>
        <family val="0"/>
        <charset val="1"/>
      </rPr>
      <t xml:space="preserve">      "</t>
    </r>
    <r>
      <rPr>
        <sz val="9"/>
        <rFont val="WenQuanYi Zen Hei"/>
        <family val="2"/>
      </rPr>
      <t xml:space="preserve">名称</t>
    </r>
    <r>
      <rPr>
        <sz val="9"/>
        <rFont val="Consolas"/>
        <family val="0"/>
        <charset val="1"/>
      </rPr>
      <t xml:space="preserve">": "</t>
    </r>
    <r>
      <rPr>
        <sz val="9"/>
        <rFont val="WenQuanYi Zen Hei"/>
        <family val="2"/>
      </rPr>
      <t xml:space="preserve">組織への浸透と参加の広がり</t>
    </r>
    <r>
      <rPr>
        <sz val="9"/>
        <rFont val="Consolas"/>
        <family val="0"/>
        <charset val="1"/>
      </rPr>
      <t xml:space="preserve">",</t>
    </r>
  </si>
  <si>
    <r>
      <rPr>
        <sz val="9"/>
        <rFont val="Consolas"/>
        <family val="0"/>
        <charset val="1"/>
      </rPr>
      <t xml:space="preserve">      "</t>
    </r>
    <r>
      <rPr>
        <sz val="9"/>
        <rFont val="WenQuanYi Zen Hei"/>
        <family val="2"/>
      </rPr>
      <t xml:space="preserve">配点</t>
    </r>
    <r>
      <rPr>
        <sz val="9"/>
        <rFont val="Consolas"/>
        <family val="0"/>
        <charset val="1"/>
      </rPr>
      <t xml:space="preserve">": 20,</t>
    </r>
  </si>
  <si>
    <t xml:space="preserve">      "id": "C3",</t>
  </si>
  <si>
    <r>
      <rPr>
        <sz val="9"/>
        <rFont val="Consolas"/>
        <family val="0"/>
        <charset val="1"/>
      </rPr>
      <t xml:space="preserve">      "</t>
    </r>
    <r>
      <rPr>
        <sz val="9"/>
        <rFont val="WenQuanYi Zen Hei"/>
        <family val="2"/>
      </rPr>
      <t xml:space="preserve">名称</t>
    </r>
    <r>
      <rPr>
        <sz val="9"/>
        <rFont val="Consolas"/>
        <family val="0"/>
        <charset val="1"/>
      </rPr>
      <t xml:space="preserve">": "</t>
    </r>
    <r>
      <rPr>
        <sz val="9"/>
        <rFont val="WenQuanYi Zen Hei"/>
        <family val="2"/>
      </rPr>
      <t xml:space="preserve">仕組み化と会社のプロセス資産化</t>
    </r>
    <r>
      <rPr>
        <sz val="9"/>
        <rFont val="Consolas"/>
        <family val="0"/>
        <charset val="1"/>
      </rPr>
      <t xml:space="preserve">",</t>
    </r>
  </si>
  <si>
    <r>
      <rPr>
        <sz val="9"/>
        <rFont val="Consolas"/>
        <family val="0"/>
        <charset val="1"/>
      </rPr>
      <t xml:space="preserve">      "</t>
    </r>
    <r>
      <rPr>
        <sz val="9"/>
        <rFont val="WenQuanYi Zen Hei"/>
        <family val="2"/>
      </rPr>
      <t xml:space="preserve">配点</t>
    </r>
    <r>
      <rPr>
        <sz val="9"/>
        <rFont val="Consolas"/>
        <family val="0"/>
        <charset val="1"/>
      </rPr>
      <t xml:space="preserve">": 11,</t>
    </r>
  </si>
  <si>
    <t xml:space="preserve">      "id": "C4",</t>
  </si>
  <si>
    <r>
      <rPr>
        <sz val="9"/>
        <rFont val="Consolas"/>
        <family val="0"/>
        <charset val="1"/>
      </rPr>
      <t xml:space="preserve">      "</t>
    </r>
    <r>
      <rPr>
        <sz val="9"/>
        <rFont val="WenQuanYi Zen Hei"/>
        <family val="2"/>
      </rPr>
      <t xml:space="preserve">名称</t>
    </r>
    <r>
      <rPr>
        <sz val="9"/>
        <rFont val="Consolas"/>
        <family val="0"/>
        <charset val="1"/>
      </rPr>
      <t xml:space="preserve">": "</t>
    </r>
    <r>
      <rPr>
        <sz val="9"/>
        <rFont val="WenQuanYi Zen Hei"/>
        <family val="2"/>
      </rPr>
      <t xml:space="preserve">波及範囲と経営視座</t>
    </r>
    <r>
      <rPr>
        <sz val="9"/>
        <rFont val="Consolas"/>
        <family val="0"/>
        <charset val="1"/>
      </rPr>
      <t xml:space="preserve">",</t>
    </r>
  </si>
  <si>
    <r>
      <rPr>
        <sz val="9"/>
        <rFont val="Consolas"/>
        <family val="0"/>
        <charset val="1"/>
      </rPr>
      <t xml:space="preserve">      "</t>
    </r>
    <r>
      <rPr>
        <sz val="9"/>
        <rFont val="WenQuanYi Zen Hei"/>
        <family val="2"/>
      </rPr>
      <t xml:space="preserve">配点</t>
    </r>
    <r>
      <rPr>
        <sz val="9"/>
        <rFont val="Consolas"/>
        <family val="0"/>
        <charset val="1"/>
      </rPr>
      <t xml:space="preserve">": 22,</t>
    </r>
  </si>
  <si>
    <t xml:space="preserve">      "id": "C5",</t>
  </si>
  <si>
    <r>
      <rPr>
        <sz val="9"/>
        <rFont val="Consolas"/>
        <family val="0"/>
        <charset val="1"/>
      </rPr>
      <t xml:space="preserve">      "</t>
    </r>
    <r>
      <rPr>
        <sz val="9"/>
        <rFont val="WenQuanYi Zen Hei"/>
        <family val="2"/>
      </rPr>
      <t xml:space="preserve">名称</t>
    </r>
    <r>
      <rPr>
        <sz val="9"/>
        <rFont val="Consolas"/>
        <family val="0"/>
        <charset val="1"/>
      </rPr>
      <t xml:space="preserve">": "</t>
    </r>
    <r>
      <rPr>
        <sz val="9"/>
        <rFont val="WenQuanYi Zen Hei"/>
        <family val="2"/>
      </rPr>
      <t xml:space="preserve">創出した価値と、その再投資先</t>
    </r>
    <r>
      <rPr>
        <sz val="9"/>
        <rFont val="Consolas"/>
        <family val="0"/>
        <charset val="1"/>
      </rPr>
      <t xml:space="preserve">",</t>
    </r>
  </si>
  <si>
    <r>
      <rPr>
        <sz val="9"/>
        <rFont val="Consolas"/>
        <family val="0"/>
        <charset val="1"/>
      </rPr>
      <t xml:space="preserve">      "</t>
    </r>
    <r>
      <rPr>
        <sz val="9"/>
        <rFont val="WenQuanYi Zen Hei"/>
        <family val="2"/>
      </rPr>
      <t xml:space="preserve">配点</t>
    </r>
    <r>
      <rPr>
        <sz val="9"/>
        <rFont val="Consolas"/>
        <family val="0"/>
        <charset val="1"/>
      </rPr>
      <t xml:space="preserve">": 9,</t>
    </r>
  </si>
  <si>
    <t xml:space="preserve">      "id": "C6",</t>
  </si>
  <si>
    <r>
      <rPr>
        <sz val="9"/>
        <rFont val="Consolas"/>
        <family val="0"/>
        <charset val="1"/>
      </rPr>
      <t xml:space="preserve">      "</t>
    </r>
    <r>
      <rPr>
        <sz val="9"/>
        <rFont val="WenQuanYi Zen Hei"/>
        <family val="2"/>
      </rPr>
      <t xml:space="preserve">名称</t>
    </r>
    <r>
      <rPr>
        <sz val="9"/>
        <rFont val="Consolas"/>
        <family val="0"/>
        <charset val="1"/>
      </rPr>
      <t xml:space="preserve">": "</t>
    </r>
    <r>
      <rPr>
        <sz val="9"/>
        <rFont val="WenQuanYi Zen Hei"/>
        <family val="2"/>
      </rPr>
      <t xml:space="preserve">語りの当事者性と熱量</t>
    </r>
    <r>
      <rPr>
        <sz val="9"/>
        <rFont val="Consolas"/>
        <family val="0"/>
        <charset val="1"/>
      </rPr>
      <t xml:space="preserve">",</t>
    </r>
  </si>
  <si>
    <t xml:space="preserve">    }</t>
  </si>
  <si>
    <t xml:space="preserve">  ],</t>
  </si>
  <si>
    <r>
      <rPr>
        <sz val="9"/>
        <rFont val="Consolas"/>
        <family val="0"/>
        <charset val="1"/>
      </rPr>
      <t xml:space="preserve">  "</t>
    </r>
    <r>
      <rPr>
        <sz val="9"/>
        <rFont val="WenQuanYi Zen Hei"/>
        <family val="2"/>
      </rPr>
      <t xml:space="preserve">前提フラグ</t>
    </r>
    <r>
      <rPr>
        <sz val="9"/>
        <rFont val="Consolas"/>
        <family val="0"/>
        <charset val="1"/>
      </rPr>
      <t xml:space="preserve">": [</t>
    </r>
  </si>
  <si>
    <t xml:space="preserve">      "id": "F1",</t>
  </si>
  <si>
    <r>
      <rPr>
        <sz val="9"/>
        <rFont val="Consolas"/>
        <family val="0"/>
        <charset val="1"/>
      </rPr>
      <t xml:space="preserve">      "</t>
    </r>
    <r>
      <rPr>
        <sz val="9"/>
        <rFont val="WenQuanYi Zen Hei"/>
        <family val="2"/>
      </rPr>
      <t xml:space="preserve">該当</t>
    </r>
    <r>
      <rPr>
        <sz val="9"/>
        <rFont val="Consolas"/>
        <family val="0"/>
        <charset val="1"/>
      </rPr>
      <t xml:space="preserve">": "true / false",</t>
    </r>
  </si>
  <si>
    <r>
      <rPr>
        <sz val="9"/>
        <rFont val="Consolas"/>
        <family val="0"/>
        <charset val="1"/>
      </rPr>
      <t xml:space="preserve">      "</t>
    </r>
    <r>
      <rPr>
        <sz val="9"/>
        <rFont val="WenQuanYi Zen Hei"/>
        <family val="2"/>
      </rPr>
      <t xml:space="preserve">理由</t>
    </r>
    <r>
      <rPr>
        <sz val="9"/>
        <rFont val="Consolas"/>
        <family val="0"/>
        <charset val="1"/>
      </rPr>
      <t xml:space="preserve">": "</t>
    </r>
    <r>
      <rPr>
        <sz val="9"/>
        <rFont val="WenQuanYi Zen Hei"/>
        <family val="2"/>
      </rPr>
      <t xml:space="preserve">該当した場合のみ、資料上の根拠を</t>
    </r>
    <r>
      <rPr>
        <sz val="9"/>
        <rFont val="Consolas"/>
        <family val="0"/>
        <charset val="1"/>
      </rPr>
      <t xml:space="preserve">1</t>
    </r>
    <r>
      <rPr>
        <sz val="9"/>
        <rFont val="WenQuanYi Zen Hei"/>
        <family val="2"/>
      </rPr>
      <t xml:space="preserve">文で</t>
    </r>
    <r>
      <rPr>
        <sz val="9"/>
        <rFont val="Consolas"/>
        <family val="0"/>
        <charset val="1"/>
      </rPr>
      <t xml:space="preserve">"</t>
    </r>
  </si>
  <si>
    <t xml:space="preserve">      "id": "F2",</t>
  </si>
  <si>
    <t xml:space="preserve">      "id": "F3",</t>
  </si>
  <si>
    <t xml:space="preserve">      "id": "F4",</t>
  </si>
  <si>
    <r>
      <rPr>
        <sz val="9"/>
        <rFont val="Consolas"/>
        <family val="0"/>
        <charset val="1"/>
      </rPr>
      <t xml:space="preserve">  "</t>
    </r>
    <r>
      <rPr>
        <sz val="9"/>
        <rFont val="WenQuanYi Zen Hei"/>
        <family val="2"/>
      </rPr>
      <t xml:space="preserve">総合点</t>
    </r>
    <r>
      <rPr>
        <sz val="9"/>
        <rFont val="Consolas"/>
        <family val="0"/>
        <charset val="1"/>
      </rPr>
      <t xml:space="preserve">": "6</t>
    </r>
    <r>
      <rPr>
        <sz val="9"/>
        <rFont val="WenQuanYi Zen Hei"/>
        <family val="2"/>
      </rPr>
      <t xml:space="preserve">観点の加重得点の合計（小数第</t>
    </r>
    <r>
      <rPr>
        <sz val="9"/>
        <rFont val="Consolas"/>
        <family val="0"/>
        <charset val="1"/>
      </rPr>
      <t xml:space="preserve">1</t>
    </r>
    <r>
      <rPr>
        <sz val="9"/>
        <rFont val="WenQuanYi Zen Hei"/>
        <family val="2"/>
      </rPr>
      <t xml:space="preserve">位まで、</t>
    </r>
    <r>
      <rPr>
        <sz val="9"/>
        <rFont val="Consolas"/>
        <family val="0"/>
        <charset val="1"/>
      </rPr>
      <t xml:space="preserve">100</t>
    </r>
    <r>
      <rPr>
        <sz val="9"/>
        <rFont val="WenQuanYi Zen Hei"/>
        <family val="2"/>
      </rPr>
      <t xml:space="preserve">点満点）</t>
    </r>
    <r>
      <rPr>
        <sz val="9"/>
        <rFont val="Consolas"/>
        <family val="0"/>
        <charset val="1"/>
      </rPr>
      <t xml:space="preserve">",</t>
    </r>
  </si>
  <si>
    <r>
      <rPr>
        <sz val="9"/>
        <rFont val="Consolas"/>
        <family val="0"/>
        <charset val="1"/>
      </rPr>
      <t xml:space="preserve">  "</t>
    </r>
    <r>
      <rPr>
        <sz val="9"/>
        <rFont val="WenQuanYi Zen Hei"/>
        <family val="2"/>
      </rPr>
      <t xml:space="preserve">判定</t>
    </r>
    <r>
      <rPr>
        <sz val="9"/>
        <rFont val="Consolas"/>
        <family val="0"/>
        <charset val="1"/>
      </rPr>
      <t xml:space="preserve">": "S / A / B / C",</t>
    </r>
  </si>
  <si>
    <r>
      <rPr>
        <sz val="9"/>
        <rFont val="Consolas"/>
        <family val="0"/>
        <charset val="1"/>
      </rPr>
      <t xml:space="preserve">  "</t>
    </r>
    <r>
      <rPr>
        <sz val="9"/>
        <rFont val="WenQuanYi Zen Hei"/>
        <family val="2"/>
      </rPr>
      <t xml:space="preserve">強み</t>
    </r>
    <r>
      <rPr>
        <sz val="9"/>
        <rFont val="Consolas"/>
        <family val="0"/>
        <charset val="1"/>
      </rPr>
      <t xml:space="preserve">": "</t>
    </r>
    <r>
      <rPr>
        <sz val="9"/>
        <rFont val="WenQuanYi Zen Hei"/>
        <family val="2"/>
      </rPr>
      <t xml:space="preserve">最も高く評価できる点を</t>
    </r>
    <r>
      <rPr>
        <sz val="9"/>
        <rFont val="Consolas"/>
        <family val="0"/>
        <charset val="1"/>
      </rPr>
      <t xml:space="preserve">1</t>
    </r>
    <r>
      <rPr>
        <sz val="9"/>
        <rFont val="WenQuanYi Zen Hei"/>
        <family val="2"/>
      </rPr>
      <t xml:space="preserve">〜</t>
    </r>
    <r>
      <rPr>
        <sz val="9"/>
        <rFont val="Consolas"/>
        <family val="0"/>
        <charset val="1"/>
      </rPr>
      <t xml:space="preserve">2</t>
    </r>
    <r>
      <rPr>
        <sz val="9"/>
        <rFont val="WenQuanYi Zen Hei"/>
        <family val="2"/>
      </rPr>
      <t xml:space="preserve">文</t>
    </r>
    <r>
      <rPr>
        <sz val="9"/>
        <rFont val="Consolas"/>
        <family val="0"/>
        <charset val="1"/>
      </rPr>
      <t xml:space="preserve">",</t>
    </r>
  </si>
  <si>
    <r>
      <rPr>
        <sz val="9"/>
        <rFont val="Consolas"/>
        <family val="0"/>
        <charset val="1"/>
      </rPr>
      <t xml:space="preserve">  "</t>
    </r>
    <r>
      <rPr>
        <sz val="9"/>
        <rFont val="WenQuanYi Zen Hei"/>
        <family val="2"/>
      </rPr>
      <t xml:space="preserve">弱み</t>
    </r>
    <r>
      <rPr>
        <sz val="9"/>
        <rFont val="Consolas"/>
        <family val="0"/>
        <charset val="1"/>
      </rPr>
      <t xml:space="preserve">": "</t>
    </r>
    <r>
      <rPr>
        <sz val="9"/>
        <rFont val="WenQuanYi Zen Hei"/>
        <family val="2"/>
      </rPr>
      <t xml:space="preserve">最も足りない点を</t>
    </r>
    <r>
      <rPr>
        <sz val="9"/>
        <rFont val="Consolas"/>
        <family val="0"/>
        <charset val="1"/>
      </rPr>
      <t xml:space="preserve">1</t>
    </r>
    <r>
      <rPr>
        <sz val="9"/>
        <rFont val="WenQuanYi Zen Hei"/>
        <family val="2"/>
      </rPr>
      <t xml:space="preserve">〜</t>
    </r>
    <r>
      <rPr>
        <sz val="9"/>
        <rFont val="Consolas"/>
        <family val="0"/>
        <charset val="1"/>
      </rPr>
      <t xml:space="preserve">2</t>
    </r>
    <r>
      <rPr>
        <sz val="9"/>
        <rFont val="WenQuanYi Zen Hei"/>
        <family val="2"/>
      </rPr>
      <t xml:space="preserve">文</t>
    </r>
    <r>
      <rPr>
        <sz val="9"/>
        <rFont val="Consolas"/>
        <family val="0"/>
        <charset val="1"/>
      </rPr>
      <t xml:space="preserve">",</t>
    </r>
  </si>
  <si>
    <r>
      <rPr>
        <sz val="9"/>
        <rFont val="Consolas"/>
        <family val="0"/>
        <charset val="1"/>
      </rPr>
      <t xml:space="preserve">  "</t>
    </r>
    <r>
      <rPr>
        <sz val="9"/>
        <rFont val="WenQuanYi Zen Hei"/>
        <family val="2"/>
      </rPr>
      <t xml:space="preserve">人手審査で確認すべき点</t>
    </r>
    <r>
      <rPr>
        <sz val="9"/>
        <rFont val="Consolas"/>
        <family val="0"/>
        <charset val="1"/>
      </rPr>
      <t xml:space="preserve">": "AI</t>
    </r>
    <r>
      <rPr>
        <sz val="9"/>
        <rFont val="WenQuanYi Zen Hei"/>
        <family val="2"/>
      </rPr>
      <t xml:space="preserve">では判断しきれず、審査員に確認してほしい点を</t>
    </r>
    <r>
      <rPr>
        <sz val="9"/>
        <rFont val="Consolas"/>
        <family val="0"/>
        <charset val="1"/>
      </rPr>
      <t xml:space="preserve">1</t>
    </r>
    <r>
      <rPr>
        <sz val="9"/>
        <rFont val="WenQuanYi Zen Hei"/>
        <family val="2"/>
      </rPr>
      <t xml:space="preserve">〜</t>
    </r>
    <r>
      <rPr>
        <sz val="9"/>
        <rFont val="Consolas"/>
        <family val="0"/>
        <charset val="1"/>
      </rPr>
      <t xml:space="preserve">2</t>
    </r>
    <r>
      <rPr>
        <sz val="9"/>
        <rFont val="WenQuanYi Zen Hei"/>
        <family val="2"/>
      </rPr>
      <t xml:space="preserve">文。なければ空文字</t>
    </r>
    <r>
      <rPr>
        <sz val="9"/>
        <rFont val="Consolas"/>
        <family val="0"/>
        <charset val="1"/>
      </rPr>
      <t xml:space="preserve">",</t>
    </r>
  </si>
  <si>
    <r>
      <rPr>
        <sz val="9"/>
        <rFont val="Consolas"/>
        <family val="0"/>
        <charset val="1"/>
      </rPr>
      <t xml:space="preserve">  "</t>
    </r>
    <r>
      <rPr>
        <sz val="9"/>
        <rFont val="WenQuanYi Zen Hei"/>
        <family val="2"/>
      </rPr>
      <t xml:space="preserve">資料に情報が不足している観点</t>
    </r>
    <r>
      <rPr>
        <sz val="9"/>
        <rFont val="Consolas"/>
        <family val="0"/>
        <charset val="1"/>
      </rPr>
      <t xml:space="preserve">": [</t>
    </r>
  </si>
  <si>
    <r>
      <rPr>
        <sz val="9"/>
        <rFont val="Consolas"/>
        <family val="0"/>
        <charset val="1"/>
      </rPr>
      <t xml:space="preserve">    "</t>
    </r>
    <r>
      <rPr>
        <sz val="9"/>
        <rFont val="WenQuanYi Zen Hei"/>
        <family val="2"/>
      </rPr>
      <t xml:space="preserve">情報不足でレベルを下げざるを得なかった観点</t>
    </r>
    <r>
      <rPr>
        <sz val="9"/>
        <rFont val="Consolas"/>
        <family val="0"/>
        <charset val="1"/>
      </rPr>
      <t xml:space="preserve">ID</t>
    </r>
    <r>
      <rPr>
        <sz val="9"/>
        <rFont val="WenQuanYi Zen Hei"/>
        <family val="2"/>
      </rPr>
      <t xml:space="preserve">の配列</t>
    </r>
    <r>
      <rPr>
        <sz val="9"/>
        <rFont val="Consolas"/>
        <family val="0"/>
        <charset val="1"/>
      </rPr>
      <t xml:space="preserve">"</t>
    </r>
  </si>
  <si>
    <t xml:space="preserve">  ]</t>
  </si>
  <si>
    <t xml:space="preserve">}</t>
  </si>
  <si>
    <t xml:space="preserve">■ 守ること</t>
  </si>
  <si>
    <t xml:space="preserve">・応募資料に書かれていないことを補完・推測しない。情報が足りない観点はレベルを下げ、「資料に情報が不足している観点」に記録する。</t>
  </si>
  <si>
    <r>
      <rPr>
        <sz val="9"/>
        <rFont val="WenQuanYi Zen Hei"/>
        <family val="2"/>
      </rPr>
      <t xml:space="preserve">・「</t>
    </r>
    <r>
      <rPr>
        <sz val="9"/>
        <rFont val="Consolas"/>
        <family val="0"/>
        <charset val="1"/>
      </rPr>
      <t xml:space="preserve">AI</t>
    </r>
    <r>
      <rPr>
        <sz val="9"/>
        <rFont val="WenQuanYi Zen Hei"/>
        <family val="2"/>
      </rPr>
      <t xml:space="preserve">を導入した」「ツールを使った」という事実そのものは加点材料にならない。業務・組織・人がどう変わったかだけを見る。</t>
    </r>
  </si>
  <si>
    <t xml:space="preserve">・生産性向上の数値は前提であって差別化要因ではない。数値が大きいことだけを理由に高いレベルをつけない。</t>
  </si>
  <si>
    <t xml:space="preserve">・部門長個人の経歴や役職の高さは採点に用いない。採点対象は取り組みそのものである。</t>
  </si>
  <si>
    <r>
      <rPr>
        <sz val="9"/>
        <rFont val="WenQuanYi Zen Hei"/>
        <family val="2"/>
      </rPr>
      <t xml:space="preserve">・出力は上記 </t>
    </r>
    <r>
      <rPr>
        <sz val="9"/>
        <rFont val="Consolas"/>
        <family val="0"/>
        <charset val="1"/>
      </rPr>
      <t xml:space="preserve">JSON </t>
    </r>
    <r>
      <rPr>
        <sz val="9"/>
        <rFont val="WenQuanYi Zen Hei"/>
        <family val="2"/>
      </rPr>
      <t xml:space="preserve">のみ。所感や励ましの文章を添えない。</t>
    </r>
  </si>
  <si>
    <r>
      <rPr>
        <sz val="9"/>
        <rFont val="WenQuanYi Zen Hei"/>
        <family val="2"/>
      </rPr>
      <t xml:space="preserve">これから応募資料を渡します。</t>
    </r>
    <r>
      <rPr>
        <sz val="9"/>
        <rFont val="Consolas"/>
        <family val="0"/>
        <charset val="1"/>
      </rPr>
      <t xml:space="preserve">1</t>
    </r>
    <r>
      <rPr>
        <sz val="9"/>
        <rFont val="WenQuanYi Zen Hei"/>
        <family val="2"/>
      </rPr>
      <t xml:space="preserve">件ずつ採点してください。</t>
    </r>
  </si>
  <si>
    <t xml:space="preserve">元データ：審査員コメント一覧（全文）</t>
  </si>
  <si>
    <r>
      <rPr>
        <sz val="9"/>
        <color rgb="FF595959"/>
        <rFont val="WenQuanYi Zen Hei"/>
        <family val="2"/>
      </rPr>
      <t xml:space="preserve">審査員コメント一覧（</t>
    </r>
    <r>
      <rPr>
        <sz val="9"/>
        <color rgb="FF595959"/>
        <rFont val="Arial"/>
        <family val="0"/>
        <charset val="1"/>
      </rPr>
      <t xml:space="preserve">aifes-judges_skills_</t>
    </r>
    <r>
      <rPr>
        <sz val="9"/>
        <color rgb="FF595959"/>
        <rFont val="WenQuanYi Zen Hei"/>
        <family val="2"/>
      </rPr>
      <t xml:space="preserve">提出物反映版</t>
    </r>
    <r>
      <rPr>
        <sz val="9"/>
        <color rgb="FF595959"/>
        <rFont val="Arial"/>
        <family val="0"/>
        <charset val="1"/>
      </rPr>
      <t xml:space="preserve">.zip / AIFES</t>
    </r>
    <r>
      <rPr>
        <sz val="9"/>
        <color rgb="FF595959"/>
        <rFont val="WenQuanYi Zen Hei"/>
        <family val="2"/>
      </rPr>
      <t xml:space="preserve">審査員インタビュー</t>
    </r>
    <r>
      <rPr>
        <sz val="9"/>
        <color rgb="FF595959"/>
        <rFont val="Arial"/>
        <family val="0"/>
        <charset val="1"/>
      </rPr>
      <t xml:space="preserve">.docx</t>
    </r>
    <r>
      <rPr>
        <sz val="9"/>
        <color rgb="FF595959"/>
        <rFont val="WenQuanYi Zen Hei"/>
        <family val="2"/>
      </rPr>
      <t xml:space="preserve">）</t>
    </r>
  </si>
  <si>
    <t xml:space="preserve">担当ステージ</t>
  </si>
  <si>
    <t xml:space="preserve">審査コメント（本人の言葉）＝ 従（○）</t>
  </si>
  <si>
    <t xml:space="preserve">グランドフィナーレコメント ＝ 主（◎）</t>
  </si>
  <si>
    <r>
      <rPr>
        <sz val="10"/>
        <rFont val="WenQuanYi Zen Hei"/>
        <family val="2"/>
      </rPr>
      <t xml:space="preserve">ソロアクト（</t>
    </r>
    <r>
      <rPr>
        <sz val="10"/>
        <rFont val="Arial"/>
        <family val="0"/>
        <charset val="1"/>
      </rPr>
      <t xml:space="preserve">9</t>
    </r>
    <r>
      <rPr>
        <sz val="10"/>
        <rFont val="WenQuanYi Zen Hei"/>
        <family val="2"/>
      </rPr>
      <t xml:space="preserve">月） </t>
    </r>
    <r>
      <rPr>
        <sz val="10"/>
        <rFont val="Arial"/>
        <family val="0"/>
        <charset val="1"/>
      </rPr>
      <t xml:space="preserve">/ </t>
    </r>
    <r>
      <rPr>
        <sz val="10"/>
        <rFont val="WenQuanYi Zen Hei"/>
        <family val="2"/>
      </rPr>
      <t xml:space="preserve">グランドフィナーレ</t>
    </r>
  </si>
  <si>
    <r>
      <rPr>
        <sz val="10"/>
        <rFont val="Arial"/>
        <family val="0"/>
        <charset val="1"/>
      </rPr>
      <t xml:space="preserve">ROI</t>
    </r>
    <r>
      <rPr>
        <sz val="10"/>
        <rFont val="WenQuanYi Zen Hei"/>
        <family val="2"/>
      </rPr>
      <t xml:space="preserve">や完成度よりも、その手前にある「ひらめき」こそ大切にしたい。聞き手が思わず引き込まれるような可能性、面白さ、ワクワク感、そして驚きを感じさせるアイデアを評価してください。粗削りであっても、その先につながる兆しや発展性が感じられるかどうかを優先してください。</t>
    </r>
  </si>
  <si>
    <t xml:space="preserve">取り組みを自分の言葉で語れる人が前に立っているかを見てください。実際に手を動かしている人、特に若手や普段前に出る機会が少ないメンバーが主役を担っている状態を高く評価してください。</t>
  </si>
  <si>
    <r>
      <rPr>
        <sz val="10"/>
        <rFont val="WenQuanYi Zen Hei"/>
        <family val="2"/>
      </rPr>
      <t xml:space="preserve">ジャムセッション（</t>
    </r>
    <r>
      <rPr>
        <sz val="10"/>
        <rFont val="Arial"/>
        <family val="0"/>
        <charset val="1"/>
      </rPr>
      <t xml:space="preserve">9</t>
    </r>
    <r>
      <rPr>
        <sz val="10"/>
        <rFont val="WenQuanYi Zen Hei"/>
        <family val="2"/>
      </rPr>
      <t xml:space="preserve">月） </t>
    </r>
    <r>
      <rPr>
        <sz val="10"/>
        <rFont val="Arial"/>
        <family val="0"/>
        <charset val="1"/>
      </rPr>
      <t xml:space="preserve">/ </t>
    </r>
    <r>
      <rPr>
        <sz val="10"/>
        <rFont val="WenQuanYi Zen Hei"/>
        <family val="2"/>
      </rPr>
      <t xml:space="preserve">グランドフィナーレ</t>
    </r>
  </si>
  <si>
    <r>
      <rPr>
        <sz val="10"/>
        <rFont val="Arial"/>
        <family val="0"/>
        <charset val="1"/>
      </rPr>
      <t xml:space="preserve">AI</t>
    </r>
    <r>
      <rPr>
        <sz val="10"/>
        <rFont val="WenQuanYi Zen Hei"/>
        <family val="2"/>
      </rPr>
      <t xml:space="preserve">に任せきりにするのではなく、自分の意思でコントロールしながら使いこなし、前処理の部分で人の工夫や価値が表れているかを評価します。自分なりの工夫を言語化し、センスのいいプロンプトで</t>
    </r>
    <r>
      <rPr>
        <sz val="10"/>
        <rFont val="Arial"/>
        <family val="0"/>
        <charset val="1"/>
      </rPr>
      <t xml:space="preserve">AI</t>
    </r>
    <r>
      <rPr>
        <sz val="10"/>
        <rFont val="WenQuanYi Zen Hei"/>
        <family val="2"/>
      </rPr>
      <t xml:space="preserve">をコントロールできていることが伝わってくるかが重要です。</t>
    </r>
  </si>
  <si>
    <r>
      <rPr>
        <sz val="10"/>
        <rFont val="WenQuanYi Zen Hei"/>
        <family val="2"/>
      </rPr>
      <t xml:space="preserve">何を</t>
    </r>
    <r>
      <rPr>
        <sz val="10"/>
        <rFont val="Arial"/>
        <family val="0"/>
        <charset val="1"/>
      </rPr>
      <t xml:space="preserve">AI</t>
    </r>
    <r>
      <rPr>
        <sz val="10"/>
        <rFont val="WenQuanYi Zen Hei"/>
        <family val="2"/>
      </rPr>
      <t xml:space="preserve">で実現したかよりも、部門の中にどのような文化を醸成できたかを最も重視します。「</t>
    </r>
    <r>
      <rPr>
        <sz val="10"/>
        <rFont val="Arial"/>
        <family val="0"/>
        <charset val="1"/>
      </rPr>
      <t xml:space="preserve">AI</t>
    </r>
    <r>
      <rPr>
        <sz val="10"/>
        <rFont val="WenQuanYi Zen Hei"/>
        <family val="2"/>
      </rPr>
      <t xml:space="preserve">を使うのが当たり前だよね」と部員全員が自然に思える組織を築き上げられたかを見せてください。</t>
    </r>
  </si>
  <si>
    <r>
      <rPr>
        <sz val="10"/>
        <rFont val="WenQuanYi Zen Hei"/>
        <family val="2"/>
      </rPr>
      <t xml:space="preserve">コラボアクト（</t>
    </r>
    <r>
      <rPr>
        <sz val="10"/>
        <rFont val="Arial"/>
        <family val="0"/>
        <charset val="1"/>
      </rPr>
      <t xml:space="preserve">7</t>
    </r>
    <r>
      <rPr>
        <sz val="10"/>
        <rFont val="WenQuanYi Zen Hei"/>
        <family val="2"/>
      </rPr>
      <t xml:space="preserve">月・</t>
    </r>
    <r>
      <rPr>
        <sz val="10"/>
        <rFont val="Arial"/>
        <family val="0"/>
        <charset val="1"/>
      </rPr>
      <t xml:space="preserve">9</t>
    </r>
    <r>
      <rPr>
        <sz val="10"/>
        <rFont val="WenQuanYi Zen Hei"/>
        <family val="2"/>
      </rPr>
      <t xml:space="preserve">月） </t>
    </r>
    <r>
      <rPr>
        <sz val="10"/>
        <rFont val="Arial"/>
        <family val="0"/>
        <charset val="1"/>
      </rPr>
      <t xml:space="preserve">/ </t>
    </r>
    <r>
      <rPr>
        <sz val="10"/>
        <rFont val="WenQuanYi Zen Hei"/>
        <family val="2"/>
      </rPr>
      <t xml:space="preserve">グランドフィナーレ</t>
    </r>
  </si>
  <si>
    <r>
      <rPr>
        <sz val="10"/>
        <rFont val="Arial"/>
        <family val="0"/>
        <charset val="1"/>
      </rPr>
      <t xml:space="preserve">AI</t>
    </r>
    <r>
      <rPr>
        <sz val="10"/>
        <rFont val="WenQuanYi Zen Hei"/>
        <family val="2"/>
      </rPr>
      <t xml:space="preserve">を使ったこと自体ではなく、その結果として業務や事業がどれだけ変わったかというビジネスインパクト、誰でも実行できる再現性、そして社外・グローバルにも展開できる普遍性を評価したい。加えて、その人ならではの着眼点があればさらに評価します。</t>
    </r>
  </si>
  <si>
    <t xml:space="preserve">業務の必要性を問い直す視点と、視座の高さを大切にしたい。自部門に閉じず、他部門・全社への貢献と、データ基盤など経営視点での課題提起ができているかを重視します。</t>
  </si>
  <si>
    <r>
      <rPr>
        <sz val="10"/>
        <rFont val="WenQuanYi Zen Hei"/>
        <family val="2"/>
      </rPr>
      <t xml:space="preserve">ポイントで</t>
    </r>
    <r>
      <rPr>
        <sz val="10"/>
        <rFont val="Arial"/>
        <family val="0"/>
        <charset val="1"/>
      </rPr>
      <t xml:space="preserve">AI</t>
    </r>
    <r>
      <rPr>
        <sz val="10"/>
        <rFont val="WenQuanYi Zen Hei"/>
        <family val="2"/>
      </rPr>
      <t xml:space="preserve">を組み込むことよりも、業務全体を最適化しようとしているほうを評価したい。</t>
    </r>
    <r>
      <rPr>
        <sz val="10"/>
        <rFont val="Arial"/>
        <family val="0"/>
        <charset val="1"/>
      </rPr>
      <t xml:space="preserve">AI</t>
    </r>
    <r>
      <rPr>
        <sz val="10"/>
        <rFont val="WenQuanYi Zen Hei"/>
        <family val="2"/>
      </rPr>
      <t xml:space="preserve">ありきで何かを変えるのではなく、業務の全体像を見たうえで必要な箇所に組み込んでいる、その思考の順序を大切にしたいです。</t>
    </r>
  </si>
  <si>
    <r>
      <rPr>
        <sz val="10"/>
        <rFont val="Arial"/>
        <family val="0"/>
        <charset val="1"/>
      </rPr>
      <t xml:space="preserve">AI</t>
    </r>
    <r>
      <rPr>
        <sz val="10"/>
        <rFont val="WenQuanYi Zen Hei"/>
        <family val="2"/>
      </rPr>
      <t xml:space="preserve">で創出した時間を何に使ったのかを前面に出してほしいです。二段・三段先のゴールに向かって、いま手元のものを変えている構造で語れる部門長こそ、グランドフィナーレに相応しいリーダーだと考えています。</t>
    </r>
  </si>
  <si>
    <r>
      <rPr>
        <sz val="10"/>
        <rFont val="WenQuanYi Zen Hei"/>
        <family val="2"/>
      </rPr>
      <t xml:space="preserve">ソロアクト（</t>
    </r>
    <r>
      <rPr>
        <sz val="10"/>
        <rFont val="Arial"/>
        <family val="0"/>
        <charset val="1"/>
      </rPr>
      <t xml:space="preserve">7</t>
    </r>
    <r>
      <rPr>
        <sz val="10"/>
        <rFont val="WenQuanYi Zen Hei"/>
        <family val="2"/>
      </rPr>
      <t xml:space="preserve">月・</t>
    </r>
    <r>
      <rPr>
        <sz val="10"/>
        <rFont val="Arial"/>
        <family val="0"/>
        <charset val="1"/>
      </rPr>
      <t xml:space="preserve">9</t>
    </r>
    <r>
      <rPr>
        <sz val="10"/>
        <rFont val="WenQuanYi Zen Hei"/>
        <family val="2"/>
      </rPr>
      <t xml:space="preserve">月） </t>
    </r>
    <r>
      <rPr>
        <sz val="10"/>
        <rFont val="Arial"/>
        <family val="0"/>
        <charset val="1"/>
      </rPr>
      <t xml:space="preserve">/ </t>
    </r>
    <r>
      <rPr>
        <sz val="10"/>
        <rFont val="WenQuanYi Zen Hei"/>
        <family val="2"/>
      </rPr>
      <t xml:space="preserve">グランドフィナーレ</t>
    </r>
  </si>
  <si>
    <t xml:space="preserve">面倒な仕事がなくなり、その創出された時間を考える仕事に振り向けられているかを評価してください。効率化した時間を浮かせて終わりにするのではなく、事業部で今何が起きているかを把握することや、人と話す時間を増やすことに使えているかを見たいと思います。</t>
  </si>
  <si>
    <r>
      <rPr>
        <sz val="10"/>
        <rFont val="WenQuanYi Zen Hei"/>
        <family val="2"/>
      </rPr>
      <t xml:space="preserve">優れたアイデアよりも部門全体の参加率と広がりを重視してください。特定の誰かに頼るのではなく、チーム全員を巻き込んで、部門として</t>
    </r>
    <r>
      <rPr>
        <sz val="10"/>
        <rFont val="Arial"/>
        <family val="0"/>
        <charset val="1"/>
      </rPr>
      <t xml:space="preserve">AI</t>
    </r>
    <r>
      <rPr>
        <sz val="10"/>
        <rFont val="WenQuanYi Zen Hei"/>
        <family val="2"/>
      </rPr>
      <t xml:space="preserve">が根づいている状態を語れる部門長を高く評価してください。</t>
    </r>
  </si>
  <si>
    <t xml:space="preserve">自分で体験をやり切り、それを言語化して、周囲に伝播させているレベルにまで到達している取り組みを評価したい。ふざけて使ったものでも、遊びから生まれたものでも、プライベートで作ったものでも構わない。自分の楽しみ方を人に伝えられているかどうかが重要です。</t>
  </si>
  <si>
    <r>
      <rPr>
        <sz val="10"/>
        <rFont val="WenQuanYi Zen Hei"/>
        <family val="2"/>
      </rPr>
      <t xml:space="preserve">既存業務を見直し、やめる判断ができているかを重視したい。</t>
    </r>
    <r>
      <rPr>
        <sz val="10"/>
        <rFont val="Arial"/>
        <family val="0"/>
        <charset val="1"/>
      </rPr>
      <t xml:space="preserve">AI</t>
    </r>
    <r>
      <rPr>
        <sz val="10"/>
        <rFont val="WenQuanYi Zen Hei"/>
        <family val="2"/>
      </rPr>
      <t xml:space="preserve">を付加的に活用するのではなく、業務プロセス自体を見直せているか。「これはもうやらなくていい」と言い切れたら、それは相当のリーダーシップです。</t>
    </r>
  </si>
  <si>
    <r>
      <rPr>
        <sz val="10"/>
        <rFont val="Arial"/>
        <family val="0"/>
        <charset val="1"/>
      </rPr>
      <t xml:space="preserve">AI</t>
    </r>
    <r>
      <rPr>
        <sz val="10"/>
        <rFont val="WenQuanYi Zen Hei"/>
        <family val="2"/>
      </rPr>
      <t xml:space="preserve">をうまく使って、本人が楽しみながら新しいことに踏み出している。そういうソロアクトを高く評価したいと考えています。上位ポジションの人材が自ら手を挙げて取り組むこと自体に、大きな価値があります。</t>
    </r>
  </si>
  <si>
    <r>
      <rPr>
        <sz val="10"/>
        <rFont val="Arial"/>
        <family val="0"/>
        <charset val="1"/>
      </rPr>
      <t xml:space="preserve">AI</t>
    </r>
    <r>
      <rPr>
        <sz val="10"/>
        <rFont val="WenQuanYi Zen Hei"/>
        <family val="2"/>
      </rPr>
      <t xml:space="preserve">を使って部門間連携を自然に生み出せていたら理想的です。これまで人の感覚に依存していた部門間連携を、</t>
    </r>
    <r>
      <rPr>
        <sz val="10"/>
        <rFont val="Arial"/>
        <family val="0"/>
        <charset val="1"/>
      </rPr>
      <t xml:space="preserve">AI</t>
    </r>
    <r>
      <rPr>
        <sz val="10"/>
        <rFont val="WenQuanYi Zen Hei"/>
        <family val="2"/>
      </rPr>
      <t xml:space="preserve">とデータで「当たり前」に成立させる取り組みを見せてほしいと考えています。</t>
    </r>
  </si>
  <si>
    <r>
      <rPr>
        <sz val="10"/>
        <rFont val="WenQuanYi Zen Hei"/>
        <family val="2"/>
      </rPr>
      <t xml:space="preserve">コラボアクト </t>
    </r>
    <r>
      <rPr>
        <sz val="10"/>
        <rFont val="Arial"/>
        <family val="0"/>
        <charset val="1"/>
      </rPr>
      <t xml:space="preserve">/ </t>
    </r>
    <r>
      <rPr>
        <sz val="10"/>
        <rFont val="WenQuanYi Zen Hei"/>
        <family val="2"/>
      </rPr>
      <t xml:space="preserve">グランドフィナーレ</t>
    </r>
  </si>
  <si>
    <r>
      <rPr>
        <sz val="10"/>
        <rFont val="Arial"/>
        <family val="0"/>
        <charset val="1"/>
      </rPr>
      <t xml:space="preserve">AI</t>
    </r>
    <r>
      <rPr>
        <sz val="10"/>
        <rFont val="WenQuanYi Zen Hei"/>
        <family val="2"/>
      </rPr>
      <t xml:space="preserve">活用を自部門に閉じるのではなく、</t>
    </r>
    <r>
      <rPr>
        <sz val="10"/>
        <rFont val="Arial"/>
        <family val="0"/>
        <charset val="1"/>
      </rPr>
      <t xml:space="preserve">0</t>
    </r>
    <r>
      <rPr>
        <sz val="10"/>
        <rFont val="WenQuanYi Zen Hei"/>
        <family val="2"/>
      </rPr>
      <t xml:space="preserve">から</t>
    </r>
    <r>
      <rPr>
        <sz val="10"/>
        <rFont val="Arial"/>
        <family val="0"/>
        <charset val="1"/>
      </rPr>
      <t xml:space="preserve">100</t>
    </r>
    <r>
      <rPr>
        <sz val="10"/>
        <rFont val="WenQuanYi Zen Hei"/>
        <family val="2"/>
      </rPr>
      <t xml:space="preserve">までの一連の流れを俯瞰し、全体としてどのように効率化・高度化できているかを評価してください。個別最適ではなく、全体最適の観点からアイデアを組み立て、実装につなげていくことが重要です。</t>
    </r>
  </si>
  <si>
    <t xml:space="preserve">単なる部門最適ではなく、会社全体を「面」で引き上げる観点を持ち、その実現に向けた具体的な取り組みを示せているかが重要です。</t>
  </si>
  <si>
    <r>
      <rPr>
        <sz val="10"/>
        <rFont val="WenQuanYi Zen Hei"/>
        <family val="2"/>
      </rPr>
      <t xml:space="preserve">ジャムセッション（</t>
    </r>
    <r>
      <rPr>
        <sz val="10"/>
        <rFont val="Arial"/>
        <family val="0"/>
        <charset val="1"/>
      </rPr>
      <t xml:space="preserve">7</t>
    </r>
    <r>
      <rPr>
        <sz val="10"/>
        <rFont val="WenQuanYi Zen Hei"/>
        <family val="2"/>
      </rPr>
      <t xml:space="preserve">月） </t>
    </r>
    <r>
      <rPr>
        <sz val="10"/>
        <rFont val="Arial"/>
        <family val="0"/>
        <charset val="1"/>
      </rPr>
      <t xml:space="preserve">/ </t>
    </r>
    <r>
      <rPr>
        <sz val="10"/>
        <rFont val="WenQuanYi Zen Hei"/>
        <family val="2"/>
      </rPr>
      <t xml:space="preserve">グランドフィナーレ</t>
    </r>
  </si>
  <si>
    <r>
      <rPr>
        <sz val="10"/>
        <rFont val="Arial"/>
        <family val="0"/>
        <charset val="1"/>
      </rPr>
      <t xml:space="preserve">AI</t>
    </r>
    <r>
      <rPr>
        <sz val="10"/>
        <rFont val="WenQuanYi Zen Hei"/>
        <family val="2"/>
      </rPr>
      <t xml:space="preserve">にコードや設計を出してもらったときに、フルスタックの姿勢で全体を見渡せているか。</t>
    </r>
    <r>
      <rPr>
        <sz val="10"/>
        <rFont val="Arial"/>
        <family val="0"/>
        <charset val="1"/>
      </rPr>
      <t xml:space="preserve">AI</t>
    </r>
    <r>
      <rPr>
        <sz val="10"/>
        <rFont val="WenQuanYi Zen Hei"/>
        <family val="2"/>
      </rPr>
      <t xml:space="preserve">エージェントを「もう一人の自分」として動かせているか。「使う側」に立てているかどうかを、開発工程の中で評価します。</t>
    </r>
  </si>
  <si>
    <t xml:space="preserve">部門でつくったものが、きちんと「会社のプロセス資産」になっているかどうかを見たい。アウトプットして、それが再利用されるサイクルが組織として形成されているかが重要です。</t>
  </si>
  <si>
    <r>
      <rPr>
        <sz val="10"/>
        <rFont val="WenQuanYi Zen Hei"/>
        <family val="2"/>
      </rPr>
      <t xml:space="preserve">ジャムセッション </t>
    </r>
    <r>
      <rPr>
        <sz val="10"/>
        <rFont val="Arial"/>
        <family val="0"/>
        <charset val="1"/>
      </rPr>
      <t xml:space="preserve">/ </t>
    </r>
    <r>
      <rPr>
        <sz val="10"/>
        <rFont val="WenQuanYi Zen Hei"/>
        <family val="2"/>
      </rPr>
      <t xml:space="preserve">グランドフィナーレ</t>
    </r>
  </si>
  <si>
    <r>
      <rPr>
        <sz val="10"/>
        <rFont val="WenQuanYi Zen Hei"/>
        <family val="2"/>
      </rPr>
      <t xml:space="preserve">役割そのものを</t>
    </r>
    <r>
      <rPr>
        <sz val="10"/>
        <rFont val="Arial"/>
        <family val="0"/>
        <charset val="1"/>
      </rPr>
      <t xml:space="preserve">AI</t>
    </r>
    <r>
      <rPr>
        <sz val="10"/>
        <rFont val="WenQuanYi Zen Hei"/>
        <family val="2"/>
      </rPr>
      <t xml:space="preserve">に任せる考え方が見えてくるかを評価します。</t>
    </r>
    <r>
      <rPr>
        <sz val="10"/>
        <rFont val="Arial"/>
        <family val="0"/>
        <charset val="1"/>
      </rPr>
      <t xml:space="preserve">AI</t>
    </r>
    <r>
      <rPr>
        <sz val="10"/>
        <rFont val="WenQuanYi Zen Hei"/>
        <family val="2"/>
      </rPr>
      <t xml:space="preserve">を使うことで自分の工数自体が減っているか、業務の延長で</t>
    </r>
    <r>
      <rPr>
        <sz val="10"/>
        <rFont val="Arial"/>
        <family val="0"/>
        <charset val="1"/>
      </rPr>
      <t xml:space="preserve">AI</t>
    </r>
    <r>
      <rPr>
        <sz val="10"/>
        <rFont val="WenQuanYi Zen Hei"/>
        <family val="2"/>
      </rPr>
      <t xml:space="preserve">を使うのではなく、</t>
    </r>
    <r>
      <rPr>
        <sz val="10"/>
        <rFont val="Arial"/>
        <family val="0"/>
        <charset val="1"/>
      </rPr>
      <t xml:space="preserve">AI</t>
    </r>
    <r>
      <rPr>
        <sz val="10"/>
        <rFont val="WenQuanYi Zen Hei"/>
        <family val="2"/>
      </rPr>
      <t xml:space="preserve">がいる前提で業務そのものを組み立て直しているかを重視してください。</t>
    </r>
  </si>
  <si>
    <r>
      <rPr>
        <sz val="10"/>
        <rFont val="WenQuanYi Zen Hei"/>
        <family val="2"/>
      </rPr>
      <t xml:space="preserve">個人の熱意に依存しているのか、組織として自律的に回っているのかが重要です。仕組み化のプロセスを明確に示し、部門全員が当たり前のように</t>
    </r>
    <r>
      <rPr>
        <sz val="10"/>
        <rFont val="Arial"/>
        <family val="0"/>
        <charset val="1"/>
      </rPr>
      <t xml:space="preserve">AI</t>
    </r>
    <r>
      <rPr>
        <sz val="10"/>
        <rFont val="WenQuanYi Zen Hei"/>
        <family val="2"/>
      </rPr>
      <t xml:space="preserve">を使っている状態を実現できているかを評価します。</t>
    </r>
  </si>
  <si>
    <r>
      <rPr>
        <sz val="10"/>
        <rFont val="WenQuanYi Zen Hei"/>
        <family val="2"/>
      </rPr>
      <t xml:space="preserve">コラボアクト（</t>
    </r>
    <r>
      <rPr>
        <sz val="10"/>
        <rFont val="Arial"/>
        <family val="0"/>
        <charset val="1"/>
      </rPr>
      <t xml:space="preserve">9</t>
    </r>
    <r>
      <rPr>
        <sz val="10"/>
        <rFont val="WenQuanYi Zen Hei"/>
        <family val="2"/>
      </rPr>
      <t xml:space="preserve">月） </t>
    </r>
    <r>
      <rPr>
        <sz val="10"/>
        <rFont val="Arial"/>
        <family val="0"/>
        <charset val="1"/>
      </rPr>
      <t xml:space="preserve">/ </t>
    </r>
    <r>
      <rPr>
        <sz val="10"/>
        <rFont val="WenQuanYi Zen Hei"/>
        <family val="2"/>
      </rPr>
      <t xml:space="preserve">グランドフィナーレ</t>
    </r>
  </si>
  <si>
    <r>
      <rPr>
        <sz val="10"/>
        <rFont val="WenQuanYi Zen Hei"/>
        <family val="2"/>
      </rPr>
      <t xml:space="preserve">生産性向上につながる活用はもちろん重要ですが、それは企業として取り組むべき前提です。それ以上に、これまで評価されにくかった立場や役割のメンバーが、</t>
    </r>
    <r>
      <rPr>
        <sz val="10"/>
        <rFont val="Arial"/>
        <family val="0"/>
        <charset val="1"/>
      </rPr>
      <t xml:space="preserve">AI</t>
    </r>
    <r>
      <rPr>
        <sz val="10"/>
        <rFont val="WenQuanYi Zen Hei"/>
        <family val="2"/>
      </rPr>
      <t xml:space="preserve">を通じて新たな価値を発揮している点に大きな意義があると考えています。取り組みによってどのような変化や成長が生まれているのかを重視します。</t>
    </r>
  </si>
  <si>
    <r>
      <rPr>
        <sz val="10"/>
        <rFont val="Arial"/>
        <family val="0"/>
        <charset val="1"/>
      </rPr>
      <t xml:space="preserve">Sure</t>
    </r>
    <r>
      <rPr>
        <sz val="10"/>
        <rFont val="WenQuanYi Zen Hei"/>
        <family val="2"/>
      </rPr>
      <t xml:space="preserve">が担当しているお客さまの中には、規模が比較的小さく、情報システム部門の体制や</t>
    </r>
    <r>
      <rPr>
        <sz val="10"/>
        <rFont val="Arial"/>
        <family val="0"/>
        <charset val="1"/>
      </rPr>
      <t xml:space="preserve">IT</t>
    </r>
    <r>
      <rPr>
        <sz val="10"/>
        <rFont val="WenQuanYi Zen Hei"/>
        <family val="2"/>
      </rPr>
      <t xml:space="preserve">リテラシーが十分でない企業も少なくありません。そうしたお客さまを一歩先のステージへと引き上げていく意識を持ち、伴走できるリーダーを評価したいと考えています。</t>
    </r>
  </si>
  <si>
    <t xml:space="preserve">成果の大小にかかわらず、自分自身の言葉で価値を語れるかどうかが、一つの重要なポイントになると考えています。「これは良かった」と感じたことを自ら共有したくなるような熱量を持った応募を評価してください。</t>
  </si>
  <si>
    <t xml:space="preserve">成果の大きさだけでなく、その効果の広がりと熱量。その両面を体現できている部門長を評価してください。</t>
  </si>
</sst>
</file>

<file path=xl/styles.xml><?xml version="1.0" encoding="utf-8"?>
<styleSheet xmlns="http://schemas.openxmlformats.org/spreadsheetml/2006/main">
  <numFmts count="3">
    <numFmt numFmtId="164" formatCode="General"/>
    <numFmt numFmtId="165" formatCode="0.0"/>
    <numFmt numFmtId="166" formatCode="General"/>
  </numFmts>
  <fonts count="3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6"/>
      <color rgb="FFFFFFFF"/>
      <name val="WenQuanYi Zen Hei"/>
      <family val="2"/>
    </font>
    <font>
      <b val="true"/>
      <sz val="12"/>
      <color rgb="FF1F3864"/>
      <name val="WenQuanYi Zen Hei"/>
      <family val="2"/>
    </font>
    <font>
      <sz val="10"/>
      <name val="WenQuanYi Zen Hei"/>
      <family val="2"/>
    </font>
    <font>
      <sz val="10"/>
      <name val="Arial"/>
      <family val="0"/>
      <charset val="1"/>
    </font>
    <font>
      <b val="true"/>
      <sz val="12"/>
      <color rgb="FF1F3864"/>
      <name val="Arial"/>
      <family val="0"/>
      <charset val="1"/>
    </font>
    <font>
      <b val="true"/>
      <sz val="12"/>
      <color rgb="FFBF8F00"/>
      <name val="WenQuanYi Zen Hei"/>
      <family val="2"/>
    </font>
    <font>
      <b val="true"/>
      <sz val="10"/>
      <color rgb="FFFFFFFF"/>
      <name val="Arial"/>
      <family val="0"/>
      <charset val="1"/>
    </font>
    <font>
      <b val="true"/>
      <sz val="10"/>
      <color rgb="FFFFFFFF"/>
      <name val="WenQuanYi Zen Hei"/>
      <family val="2"/>
    </font>
    <font>
      <b val="true"/>
      <sz val="10"/>
      <name val="Arial"/>
      <family val="0"/>
      <charset val="1"/>
    </font>
    <font>
      <b val="true"/>
      <sz val="10"/>
      <name val="WenQuanYi Zen Hei"/>
      <family val="2"/>
    </font>
    <font>
      <sz val="9"/>
      <color rgb="FF595959"/>
      <name val="WenQuanYi Zen Hei"/>
      <family val="2"/>
    </font>
    <font>
      <sz val="9"/>
      <color rgb="FF595959"/>
      <name val="Arial"/>
      <family val="0"/>
      <charset val="1"/>
    </font>
    <font>
      <b val="true"/>
      <sz val="14"/>
      <color rgb="FFBF8F00"/>
      <name val="Arial"/>
      <family val="0"/>
      <charset val="1"/>
    </font>
    <font>
      <sz val="8"/>
      <name val="WenQuanYi Zen Hei"/>
      <family val="2"/>
    </font>
    <font>
      <sz val="8"/>
      <name val="Arial"/>
      <family val="0"/>
      <charset val="1"/>
    </font>
    <font>
      <sz val="10"/>
      <name val="Arial"/>
      <family val="2"/>
    </font>
    <font>
      <b val="true"/>
      <sz val="12"/>
      <name val="Arial"/>
      <family val="0"/>
      <charset val="1"/>
    </font>
    <font>
      <b val="true"/>
      <sz val="12"/>
      <color rgb="FFFFFFFF"/>
      <name val="Arial"/>
      <family val="0"/>
      <charset val="1"/>
    </font>
    <font>
      <b val="true"/>
      <sz val="11"/>
      <color rgb="FF0000FF"/>
      <name val="Arial"/>
      <family val="0"/>
      <charset val="1"/>
    </font>
    <font>
      <i val="true"/>
      <sz val="10"/>
      <color rgb="FF808080"/>
      <name val="WenQuanYi Zen Hei"/>
      <family val="2"/>
    </font>
    <font>
      <i val="true"/>
      <sz val="10"/>
      <color rgb="FF808080"/>
      <name val="Arial"/>
      <family val="0"/>
      <charset val="1"/>
    </font>
    <font>
      <b val="true"/>
      <sz val="11"/>
      <name val="Arial"/>
      <family val="0"/>
      <charset val="1"/>
    </font>
    <font>
      <b val="true"/>
      <sz val="10"/>
      <color rgb="FF0000FF"/>
      <name val="Arial"/>
      <family val="0"/>
      <charset val="1"/>
    </font>
    <font>
      <b val="true"/>
      <sz val="14"/>
      <color rgb="FF1F3864"/>
      <name val="Arial"/>
      <family val="0"/>
      <charset val="1"/>
    </font>
    <font>
      <sz val="9"/>
      <name val="WenQuanYi Zen Hei"/>
      <family val="2"/>
    </font>
    <font>
      <sz val="9"/>
      <name val="Consolas"/>
      <family val="0"/>
      <charset val="1"/>
    </font>
  </fonts>
  <fills count="11">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F2F2F2"/>
        <bgColor rgb="FFE2EFDA"/>
      </patternFill>
    </fill>
    <fill>
      <patternFill patternType="solid">
        <fgColor rgb="FFC6E0B4"/>
        <bgColor rgb="FFE2EFDA"/>
      </patternFill>
    </fill>
    <fill>
      <patternFill patternType="solid">
        <fgColor rgb="FFE2EFDA"/>
        <bgColor rgb="FFDDEBF7"/>
      </patternFill>
    </fill>
    <fill>
      <patternFill patternType="solid">
        <fgColor rgb="FFFCE4D6"/>
        <bgColor rgb="FFFFF2CC"/>
      </patternFill>
    </fill>
    <fill>
      <patternFill patternType="solid">
        <fgColor rgb="FFF8CBAD"/>
        <bgColor rgb="FFFCE4D6"/>
      </patternFill>
    </fill>
    <fill>
      <patternFill patternType="solid">
        <fgColor rgb="FFBF8F00"/>
        <bgColor rgb="FF8080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5" fillId="5" borderId="0" xfId="0" applyFont="true" applyBorder="true" applyAlignment="true" applyProtection="false">
      <alignment horizontal="general" vertical="center" textRotation="0" wrapText="true" indent="1"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5" fillId="5" borderId="3"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true" applyProtection="false">
      <alignment horizontal="general" vertical="center" textRotation="0" wrapText="false" indent="1"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21" fillId="7" borderId="1" xfId="0" applyFont="true" applyBorder="true" applyAlignment="true" applyProtection="false">
      <alignment horizontal="center" vertical="center" textRotation="0" wrapText="false" indent="0" shrinkToFit="false"/>
      <protection locked="true" hidden="false"/>
    </xf>
    <xf numFmtId="164" fontId="21" fillId="4"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22" fillId="10" borderId="1" xfId="0" applyFont="true" applyBorder="true" applyAlignment="true" applyProtection="false">
      <alignment horizontal="center" vertical="center" textRotation="0" wrapText="false" indent="0" shrinkToFit="false"/>
      <protection locked="true" hidden="false"/>
    </xf>
    <xf numFmtId="164" fontId="15" fillId="5"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general" vertical="top" textRotation="0" wrapText="true" indent="0" shrinkToFit="false"/>
      <protection locked="true" hidden="false"/>
    </xf>
    <xf numFmtId="164" fontId="25" fillId="5" borderId="1" xfId="0" applyFont="true" applyBorder="true" applyAlignment="true" applyProtection="false">
      <alignment horizontal="center" vertical="center" textRotation="0" wrapText="false" indent="0" shrinkToFit="false"/>
      <protection locked="true" hidden="false"/>
    </xf>
    <xf numFmtId="165" fontId="8" fillId="5" borderId="1" xfId="0" applyFont="true" applyBorder="true" applyAlignment="true" applyProtection="false">
      <alignment horizontal="center" vertical="center" textRotation="0" wrapText="false" indent="0" shrinkToFit="false"/>
      <protection locked="true" hidden="false"/>
    </xf>
    <xf numFmtId="165" fontId="26" fillId="5" borderId="1" xfId="0" applyFont="true" applyBorder="true" applyAlignment="true" applyProtection="false">
      <alignment horizontal="center" vertical="center" textRotation="0" wrapText="false" indent="0" shrinkToFit="false"/>
      <protection locked="true" hidden="false"/>
    </xf>
    <xf numFmtId="164" fontId="26"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24" fillId="5"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26" fillId="0"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8CBAD"/>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96"/>
    <col collapsed="false" customWidth="true" hidden="false" outlineLevel="0" max="4" min="4" style="0" width="2"/>
  </cols>
  <sheetData>
    <row r="1" customFormat="false" ht="30" hidden="false" customHeight="true" outlineLevel="0" collapsed="false">
      <c r="A1" s="1" t="s">
        <v>0</v>
      </c>
      <c r="B1" s="1"/>
      <c r="C1" s="1"/>
      <c r="D1" s="1"/>
    </row>
    <row r="3" customFormat="false" ht="45.75" hidden="false" customHeight="true" outlineLevel="0" collapsed="false">
      <c r="B3" s="2" t="s">
        <v>1</v>
      </c>
      <c r="C3" s="3" t="s">
        <v>2</v>
      </c>
    </row>
    <row r="4" customFormat="false" ht="45.75" hidden="false" customHeight="true" outlineLevel="0" collapsed="false">
      <c r="B4" s="2" t="s">
        <v>3</v>
      </c>
      <c r="C4" s="3" t="s">
        <v>4</v>
      </c>
    </row>
    <row r="5" customFormat="false" ht="45.75" hidden="false" customHeight="true" outlineLevel="0" collapsed="false">
      <c r="B5" s="2" t="s">
        <v>5</v>
      </c>
      <c r="C5" s="3" t="s">
        <v>6</v>
      </c>
    </row>
    <row r="6" customFormat="false" ht="45.75" hidden="false" customHeight="true" outlineLevel="0" collapsed="false">
      <c r="B6" s="2" t="s">
        <v>7</v>
      </c>
      <c r="C6" s="3" t="s">
        <v>8</v>
      </c>
    </row>
    <row r="7" customFormat="false" ht="45.75" hidden="false" customHeight="true" outlineLevel="0" collapsed="false">
      <c r="B7" s="2" t="s">
        <v>9</v>
      </c>
      <c r="C7" s="4" t="s">
        <v>10</v>
      </c>
    </row>
    <row r="8" customFormat="false" ht="45.75" hidden="false" customHeight="true" outlineLevel="0" collapsed="false">
      <c r="B8" s="5" t="s">
        <v>11</v>
      </c>
      <c r="C8" s="4" t="s">
        <v>12</v>
      </c>
    </row>
    <row r="9" customFormat="false" ht="45.75" hidden="false" customHeight="true" outlineLevel="0" collapsed="false">
      <c r="B9" s="2" t="s">
        <v>13</v>
      </c>
      <c r="C9" s="3" t="s">
        <v>14</v>
      </c>
    </row>
    <row r="10" customFormat="false" ht="45.75" hidden="false" customHeight="true" outlineLevel="0" collapsed="false">
      <c r="B10" s="2" t="s">
        <v>15</v>
      </c>
      <c r="C10" s="3" t="s">
        <v>16</v>
      </c>
    </row>
    <row r="12" customFormat="false" ht="15" hidden="false" customHeight="false" outlineLevel="0" collapsed="false">
      <c r="B12" s="6" t="s">
        <v>17</v>
      </c>
    </row>
    <row r="13" customFormat="false" ht="15" hidden="false" customHeight="false" outlineLevel="0" collapsed="false">
      <c r="A13" s="7"/>
      <c r="B13" s="8" t="s">
        <v>18</v>
      </c>
      <c r="C13" s="8" t="s">
        <v>19</v>
      </c>
    </row>
    <row r="14" customFormat="false" ht="30" hidden="false" customHeight="true" outlineLevel="0" collapsed="false">
      <c r="B14" s="9" t="s">
        <v>20</v>
      </c>
      <c r="C14" s="4" t="s">
        <v>21</v>
      </c>
    </row>
    <row r="15" customFormat="false" ht="30" hidden="false" customHeight="true" outlineLevel="0" collapsed="false">
      <c r="B15" s="9" t="s">
        <v>22</v>
      </c>
      <c r="C15" s="4" t="s">
        <v>23</v>
      </c>
    </row>
    <row r="16" customFormat="false" ht="30" hidden="false" customHeight="true" outlineLevel="0" collapsed="false">
      <c r="B16" s="9" t="s">
        <v>24</v>
      </c>
      <c r="C16" s="4" t="s">
        <v>25</v>
      </c>
    </row>
    <row r="17" customFormat="false" ht="30" hidden="false" customHeight="true" outlineLevel="0" collapsed="false">
      <c r="B17" s="9" t="s">
        <v>26</v>
      </c>
      <c r="C17" s="4" t="s">
        <v>27</v>
      </c>
    </row>
    <row r="18" customFormat="false" ht="30" hidden="false" customHeight="true" outlineLevel="0" collapsed="false">
      <c r="B18" s="9" t="s">
        <v>28</v>
      </c>
      <c r="C18" s="4" t="s">
        <v>29</v>
      </c>
    </row>
    <row r="19" customFormat="false" ht="30" hidden="false" customHeight="true" outlineLevel="0" collapsed="false">
      <c r="B19" s="9" t="s">
        <v>30</v>
      </c>
      <c r="C19" s="4" t="s">
        <v>31</v>
      </c>
    </row>
    <row r="20" customFormat="false" ht="15" hidden="false" customHeight="false" outlineLevel="0" collapsed="false">
      <c r="B20" s="10" t="s">
        <v>32</v>
      </c>
      <c r="C20" s="11" t="s">
        <v>33</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9"/>
    <col collapsed="false" customWidth="true" hidden="false" outlineLevel="0" max="4" min="4" style="0" width="7"/>
    <col collapsed="false" customWidth="true" hidden="false" outlineLevel="0" max="5" min="5" style="0" width="70"/>
    <col collapsed="false" customWidth="true" hidden="false" outlineLevel="0" max="6" min="6" style="0" width="34"/>
    <col collapsed="false" customWidth="true" hidden="false" outlineLevel="0" max="8" min="7" style="0" width="2"/>
  </cols>
  <sheetData>
    <row r="1" customFormat="false" ht="30" hidden="false" customHeight="true" outlineLevel="0" collapsed="false">
      <c r="A1" s="1" t="s">
        <v>34</v>
      </c>
      <c r="B1" s="1"/>
      <c r="C1" s="1"/>
      <c r="D1" s="1"/>
      <c r="E1" s="1"/>
      <c r="F1" s="1"/>
      <c r="G1" s="1"/>
      <c r="H1" s="1"/>
    </row>
    <row r="2" customFormat="false" ht="25.5" hidden="false" customHeight="true" outlineLevel="0" collapsed="false">
      <c r="A2" s="12" t="s">
        <v>35</v>
      </c>
      <c r="B2" s="12"/>
      <c r="C2" s="12"/>
      <c r="D2" s="12"/>
      <c r="E2" s="12"/>
      <c r="F2" s="12"/>
      <c r="G2" s="12"/>
      <c r="H2" s="12"/>
    </row>
    <row r="3" customFormat="false" ht="31.5" hidden="false" customHeight="true" outlineLevel="0" collapsed="false">
      <c r="A3" s="8" t="s">
        <v>36</v>
      </c>
      <c r="B3" s="8" t="s">
        <v>37</v>
      </c>
      <c r="C3" s="8" t="s">
        <v>38</v>
      </c>
      <c r="D3" s="8" t="s">
        <v>39</v>
      </c>
      <c r="E3" s="8" t="s">
        <v>40</v>
      </c>
      <c r="F3" s="8" t="s">
        <v>41</v>
      </c>
    </row>
    <row r="4" customFormat="false" ht="57.75" hidden="false" customHeight="true" outlineLevel="0" collapsed="false">
      <c r="A4" s="13" t="s">
        <v>42</v>
      </c>
      <c r="B4" s="14" t="s">
        <v>43</v>
      </c>
      <c r="C4" s="15" t="n">
        <v>18</v>
      </c>
      <c r="D4" s="16" t="n">
        <v>5</v>
      </c>
      <c r="E4" s="3" t="s">
        <v>44</v>
      </c>
      <c r="F4" s="17" t="s">
        <v>45</v>
      </c>
    </row>
    <row r="5" customFormat="false" ht="57.75" hidden="false" customHeight="true" outlineLevel="0" collapsed="false">
      <c r="A5" s="13"/>
      <c r="B5" s="13"/>
      <c r="C5" s="13"/>
      <c r="D5" s="18" t="n">
        <v>4</v>
      </c>
      <c r="E5" s="3" t="s">
        <v>46</v>
      </c>
      <c r="F5" s="17"/>
    </row>
    <row r="6" customFormat="false" ht="57.75" hidden="false" customHeight="true" outlineLevel="0" collapsed="false">
      <c r="A6" s="13"/>
      <c r="B6" s="13"/>
      <c r="C6" s="13"/>
      <c r="D6" s="19" t="n">
        <v>3</v>
      </c>
      <c r="E6" s="3" t="s">
        <v>47</v>
      </c>
      <c r="F6" s="17"/>
    </row>
    <row r="7" customFormat="false" ht="57.75" hidden="false" customHeight="true" outlineLevel="0" collapsed="false">
      <c r="A7" s="13"/>
      <c r="B7" s="13"/>
      <c r="C7" s="13"/>
      <c r="D7" s="20" t="n">
        <v>2</v>
      </c>
      <c r="E7" s="3" t="s">
        <v>48</v>
      </c>
      <c r="F7" s="17"/>
    </row>
    <row r="8" customFormat="false" ht="57.75" hidden="false" customHeight="true" outlineLevel="0" collapsed="false">
      <c r="A8" s="13"/>
      <c r="B8" s="13"/>
      <c r="C8" s="13"/>
      <c r="D8" s="21" t="n">
        <v>1</v>
      </c>
      <c r="E8" s="3" t="s">
        <v>49</v>
      </c>
      <c r="F8" s="17"/>
    </row>
    <row r="9" customFormat="false" ht="30" hidden="false" customHeight="true" outlineLevel="0" collapsed="false">
      <c r="A9" s="22" t="s">
        <v>50</v>
      </c>
      <c r="B9" s="22"/>
      <c r="C9" s="22"/>
      <c r="D9" s="22"/>
      <c r="E9" s="22"/>
      <c r="F9" s="22"/>
    </row>
    <row r="11" customFormat="false" ht="57.75" hidden="false" customHeight="true" outlineLevel="0" collapsed="false">
      <c r="A11" s="13" t="s">
        <v>51</v>
      </c>
      <c r="B11" s="14" t="s">
        <v>52</v>
      </c>
      <c r="C11" s="15" t="n">
        <v>20</v>
      </c>
      <c r="D11" s="16" t="n">
        <v>5</v>
      </c>
      <c r="E11" s="3" t="s">
        <v>53</v>
      </c>
      <c r="F11" s="17" t="s">
        <v>54</v>
      </c>
    </row>
    <row r="12" customFormat="false" ht="57.75" hidden="false" customHeight="true" outlineLevel="0" collapsed="false">
      <c r="A12" s="13"/>
      <c r="B12" s="13"/>
      <c r="C12" s="13"/>
      <c r="D12" s="18" t="n">
        <v>4</v>
      </c>
      <c r="E12" s="3" t="s">
        <v>55</v>
      </c>
      <c r="F12" s="17"/>
    </row>
    <row r="13" customFormat="false" ht="57.75" hidden="false" customHeight="true" outlineLevel="0" collapsed="false">
      <c r="A13" s="13"/>
      <c r="B13" s="13"/>
      <c r="C13" s="13"/>
      <c r="D13" s="19" t="n">
        <v>3</v>
      </c>
      <c r="E13" s="3" t="s">
        <v>56</v>
      </c>
      <c r="F13" s="17"/>
    </row>
    <row r="14" customFormat="false" ht="57.75" hidden="false" customHeight="true" outlineLevel="0" collapsed="false">
      <c r="A14" s="13"/>
      <c r="B14" s="13"/>
      <c r="C14" s="13"/>
      <c r="D14" s="20" t="n">
        <v>2</v>
      </c>
      <c r="E14" s="3" t="s">
        <v>57</v>
      </c>
      <c r="F14" s="17"/>
    </row>
    <row r="15" customFormat="false" ht="57.75" hidden="false" customHeight="true" outlineLevel="0" collapsed="false">
      <c r="A15" s="13"/>
      <c r="B15" s="13"/>
      <c r="C15" s="13"/>
      <c r="D15" s="21" t="n">
        <v>1</v>
      </c>
      <c r="E15" s="3" t="s">
        <v>58</v>
      </c>
      <c r="F15" s="17"/>
    </row>
    <row r="16" customFormat="false" ht="30" hidden="false" customHeight="true" outlineLevel="0" collapsed="false">
      <c r="A16" s="22" t="s">
        <v>59</v>
      </c>
      <c r="B16" s="22"/>
      <c r="C16" s="22"/>
      <c r="D16" s="22"/>
      <c r="E16" s="22"/>
      <c r="F16" s="22"/>
    </row>
    <row r="18" customFormat="false" ht="57.75" hidden="false" customHeight="true" outlineLevel="0" collapsed="false">
      <c r="A18" s="13" t="s">
        <v>60</v>
      </c>
      <c r="B18" s="14" t="s">
        <v>61</v>
      </c>
      <c r="C18" s="15" t="n">
        <v>11</v>
      </c>
      <c r="D18" s="16" t="n">
        <v>5</v>
      </c>
      <c r="E18" s="3" t="s">
        <v>62</v>
      </c>
      <c r="F18" s="17" t="s">
        <v>63</v>
      </c>
    </row>
    <row r="19" customFormat="false" ht="57.75" hidden="false" customHeight="true" outlineLevel="0" collapsed="false">
      <c r="A19" s="13"/>
      <c r="B19" s="13"/>
      <c r="C19" s="13"/>
      <c r="D19" s="18" t="n">
        <v>4</v>
      </c>
      <c r="E19" s="3" t="s">
        <v>64</v>
      </c>
      <c r="F19" s="17"/>
    </row>
    <row r="20" customFormat="false" ht="57.75" hidden="false" customHeight="true" outlineLevel="0" collapsed="false">
      <c r="A20" s="13"/>
      <c r="B20" s="13"/>
      <c r="C20" s="13"/>
      <c r="D20" s="19" t="n">
        <v>3</v>
      </c>
      <c r="E20" s="3" t="s">
        <v>65</v>
      </c>
      <c r="F20" s="17"/>
    </row>
    <row r="21" customFormat="false" ht="57.75" hidden="false" customHeight="true" outlineLevel="0" collapsed="false">
      <c r="A21" s="13"/>
      <c r="B21" s="13"/>
      <c r="C21" s="13"/>
      <c r="D21" s="20" t="n">
        <v>2</v>
      </c>
      <c r="E21" s="3" t="s">
        <v>66</v>
      </c>
      <c r="F21" s="17"/>
    </row>
    <row r="22" customFormat="false" ht="57.75" hidden="false" customHeight="true" outlineLevel="0" collapsed="false">
      <c r="A22" s="13"/>
      <c r="B22" s="13"/>
      <c r="C22" s="13"/>
      <c r="D22" s="21" t="n">
        <v>1</v>
      </c>
      <c r="E22" s="3" t="s">
        <v>67</v>
      </c>
      <c r="F22" s="17"/>
    </row>
    <row r="23" customFormat="false" ht="30" hidden="false" customHeight="true" outlineLevel="0" collapsed="false">
      <c r="A23" s="22" t="s">
        <v>68</v>
      </c>
      <c r="B23" s="22"/>
      <c r="C23" s="22"/>
      <c r="D23" s="22"/>
      <c r="E23" s="22"/>
      <c r="F23" s="22"/>
    </row>
    <row r="25" customFormat="false" ht="57.75" hidden="false" customHeight="true" outlineLevel="0" collapsed="false">
      <c r="A25" s="13" t="s">
        <v>69</v>
      </c>
      <c r="B25" s="14" t="s">
        <v>70</v>
      </c>
      <c r="C25" s="15" t="n">
        <v>22</v>
      </c>
      <c r="D25" s="16" t="n">
        <v>5</v>
      </c>
      <c r="E25" s="3" t="s">
        <v>71</v>
      </c>
      <c r="F25" s="17" t="s">
        <v>72</v>
      </c>
    </row>
    <row r="26" customFormat="false" ht="57.75" hidden="false" customHeight="true" outlineLevel="0" collapsed="false">
      <c r="A26" s="13"/>
      <c r="B26" s="13"/>
      <c r="C26" s="13"/>
      <c r="D26" s="18" t="n">
        <v>4</v>
      </c>
      <c r="E26" s="3" t="s">
        <v>73</v>
      </c>
      <c r="F26" s="17"/>
    </row>
    <row r="27" customFormat="false" ht="57.75" hidden="false" customHeight="true" outlineLevel="0" collapsed="false">
      <c r="A27" s="13"/>
      <c r="B27" s="13"/>
      <c r="C27" s="13"/>
      <c r="D27" s="19" t="n">
        <v>3</v>
      </c>
      <c r="E27" s="3" t="s">
        <v>74</v>
      </c>
      <c r="F27" s="17"/>
    </row>
    <row r="28" customFormat="false" ht="57.75" hidden="false" customHeight="true" outlineLevel="0" collapsed="false">
      <c r="A28" s="13"/>
      <c r="B28" s="13"/>
      <c r="C28" s="13"/>
      <c r="D28" s="20" t="n">
        <v>2</v>
      </c>
      <c r="E28" s="3" t="s">
        <v>75</v>
      </c>
      <c r="F28" s="17"/>
    </row>
    <row r="29" customFormat="false" ht="57.75" hidden="false" customHeight="true" outlineLevel="0" collapsed="false">
      <c r="A29" s="13"/>
      <c r="B29" s="13"/>
      <c r="C29" s="13"/>
      <c r="D29" s="21" t="n">
        <v>1</v>
      </c>
      <c r="E29" s="3" t="s">
        <v>76</v>
      </c>
      <c r="F29" s="17"/>
    </row>
    <row r="30" customFormat="false" ht="30" hidden="false" customHeight="true" outlineLevel="0" collapsed="false">
      <c r="A30" s="22" t="s">
        <v>77</v>
      </c>
      <c r="B30" s="22"/>
      <c r="C30" s="22"/>
      <c r="D30" s="22"/>
      <c r="E30" s="22"/>
      <c r="F30" s="22"/>
    </row>
    <row r="32" customFormat="false" ht="57.75" hidden="false" customHeight="true" outlineLevel="0" collapsed="false">
      <c r="A32" s="13" t="s">
        <v>78</v>
      </c>
      <c r="B32" s="14" t="s">
        <v>79</v>
      </c>
      <c r="C32" s="15" t="n">
        <v>9</v>
      </c>
      <c r="D32" s="16" t="n">
        <v>5</v>
      </c>
      <c r="E32" s="3" t="s">
        <v>80</v>
      </c>
      <c r="F32" s="17" t="s">
        <v>81</v>
      </c>
    </row>
    <row r="33" customFormat="false" ht="57.75" hidden="false" customHeight="true" outlineLevel="0" collapsed="false">
      <c r="A33" s="13"/>
      <c r="B33" s="13"/>
      <c r="C33" s="13"/>
      <c r="D33" s="18" t="n">
        <v>4</v>
      </c>
      <c r="E33" s="3" t="s">
        <v>82</v>
      </c>
      <c r="F33" s="17"/>
    </row>
    <row r="34" customFormat="false" ht="57.75" hidden="false" customHeight="true" outlineLevel="0" collapsed="false">
      <c r="A34" s="13"/>
      <c r="B34" s="13"/>
      <c r="C34" s="13"/>
      <c r="D34" s="19" t="n">
        <v>3</v>
      </c>
      <c r="E34" s="3" t="s">
        <v>83</v>
      </c>
      <c r="F34" s="17"/>
    </row>
    <row r="35" customFormat="false" ht="57.75" hidden="false" customHeight="true" outlineLevel="0" collapsed="false">
      <c r="A35" s="13"/>
      <c r="B35" s="13"/>
      <c r="C35" s="13"/>
      <c r="D35" s="20" t="n">
        <v>2</v>
      </c>
      <c r="E35" s="3" t="s">
        <v>84</v>
      </c>
      <c r="F35" s="17"/>
    </row>
    <row r="36" customFormat="false" ht="57.75" hidden="false" customHeight="true" outlineLevel="0" collapsed="false">
      <c r="A36" s="13"/>
      <c r="B36" s="13"/>
      <c r="C36" s="13"/>
      <c r="D36" s="21" t="n">
        <v>1</v>
      </c>
      <c r="E36" s="3" t="s">
        <v>85</v>
      </c>
      <c r="F36" s="17"/>
    </row>
    <row r="37" customFormat="false" ht="30" hidden="false" customHeight="true" outlineLevel="0" collapsed="false">
      <c r="A37" s="22" t="s">
        <v>86</v>
      </c>
      <c r="B37" s="22"/>
      <c r="C37" s="22"/>
      <c r="D37" s="22"/>
      <c r="E37" s="22"/>
      <c r="F37" s="22"/>
    </row>
    <row r="39" customFormat="false" ht="57.75" hidden="false" customHeight="true" outlineLevel="0" collapsed="false">
      <c r="A39" s="13" t="s">
        <v>87</v>
      </c>
      <c r="B39" s="14" t="s">
        <v>88</v>
      </c>
      <c r="C39" s="15" t="n">
        <v>20</v>
      </c>
      <c r="D39" s="16" t="n">
        <v>5</v>
      </c>
      <c r="E39" s="3" t="s">
        <v>89</v>
      </c>
      <c r="F39" s="17" t="s">
        <v>90</v>
      </c>
    </row>
    <row r="40" customFormat="false" ht="57.75" hidden="false" customHeight="true" outlineLevel="0" collapsed="false">
      <c r="A40" s="13"/>
      <c r="B40" s="13"/>
      <c r="C40" s="13"/>
      <c r="D40" s="18" t="n">
        <v>4</v>
      </c>
      <c r="E40" s="3" t="s">
        <v>91</v>
      </c>
      <c r="F40" s="17"/>
    </row>
    <row r="41" customFormat="false" ht="57.75" hidden="false" customHeight="true" outlineLevel="0" collapsed="false">
      <c r="A41" s="13"/>
      <c r="B41" s="13"/>
      <c r="C41" s="13"/>
      <c r="D41" s="19" t="n">
        <v>3</v>
      </c>
      <c r="E41" s="3" t="s">
        <v>92</v>
      </c>
      <c r="F41" s="17"/>
    </row>
    <row r="42" customFormat="false" ht="57.75" hidden="false" customHeight="true" outlineLevel="0" collapsed="false">
      <c r="A42" s="13"/>
      <c r="B42" s="13"/>
      <c r="C42" s="13"/>
      <c r="D42" s="20" t="n">
        <v>2</v>
      </c>
      <c r="E42" s="3" t="s">
        <v>93</v>
      </c>
      <c r="F42" s="17"/>
    </row>
    <row r="43" customFormat="false" ht="57.75" hidden="false" customHeight="true" outlineLevel="0" collapsed="false">
      <c r="A43" s="13"/>
      <c r="B43" s="13"/>
      <c r="C43" s="13"/>
      <c r="D43" s="21" t="n">
        <v>1</v>
      </c>
      <c r="E43" s="3" t="s">
        <v>94</v>
      </c>
      <c r="F43" s="17"/>
    </row>
    <row r="44" customFormat="false" ht="30" hidden="false" customHeight="true" outlineLevel="0" collapsed="false">
      <c r="A44" s="22" t="s">
        <v>95</v>
      </c>
      <c r="B44" s="22"/>
      <c r="C44" s="22"/>
      <c r="D44" s="22"/>
      <c r="E44" s="22"/>
      <c r="F44" s="22"/>
    </row>
  </sheetData>
  <mergeCells count="32">
    <mergeCell ref="A1:H1"/>
    <mergeCell ref="A2:H2"/>
    <mergeCell ref="A4:A8"/>
    <mergeCell ref="B4:B8"/>
    <mergeCell ref="C4:C8"/>
    <mergeCell ref="F4:F8"/>
    <mergeCell ref="A9:F9"/>
    <mergeCell ref="A11:A15"/>
    <mergeCell ref="B11:B15"/>
    <mergeCell ref="C11:C15"/>
    <mergeCell ref="F11:F15"/>
    <mergeCell ref="A16:F16"/>
    <mergeCell ref="A18:A22"/>
    <mergeCell ref="B18:B22"/>
    <mergeCell ref="C18:C22"/>
    <mergeCell ref="F18:F22"/>
    <mergeCell ref="A23:F23"/>
    <mergeCell ref="A25:A29"/>
    <mergeCell ref="B25:B29"/>
    <mergeCell ref="C25:C29"/>
    <mergeCell ref="F25:F29"/>
    <mergeCell ref="A30:F30"/>
    <mergeCell ref="A32:A36"/>
    <mergeCell ref="B32:B36"/>
    <mergeCell ref="C32:C36"/>
    <mergeCell ref="F32:F36"/>
    <mergeCell ref="A37:F37"/>
    <mergeCell ref="A39:A43"/>
    <mergeCell ref="B39:B43"/>
    <mergeCell ref="C39:C43"/>
    <mergeCell ref="F39:F43"/>
    <mergeCell ref="A44:F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6"/>
    <col collapsed="false" customWidth="true" hidden="false" outlineLevel="0" max="9" min="4" style="0" width="11"/>
    <col collapsed="false" customWidth="true" hidden="false" outlineLevel="0" max="10" min="10" style="0" width="2"/>
  </cols>
  <sheetData>
    <row r="1" customFormat="false" ht="30" hidden="false" customHeight="true" outlineLevel="0" collapsed="false">
      <c r="A1" s="23" t="s">
        <v>96</v>
      </c>
      <c r="B1" s="23"/>
      <c r="C1" s="23"/>
      <c r="D1" s="23"/>
      <c r="E1" s="23"/>
      <c r="F1" s="23"/>
      <c r="G1" s="23"/>
      <c r="H1" s="23"/>
      <c r="I1" s="23"/>
      <c r="J1" s="23"/>
    </row>
    <row r="2" customFormat="false" ht="25.5" hidden="false" customHeight="true" outlineLevel="0" collapsed="false">
      <c r="A2" s="12" t="s">
        <v>97</v>
      </c>
      <c r="B2" s="12"/>
      <c r="C2" s="12"/>
      <c r="D2" s="12"/>
      <c r="E2" s="12"/>
      <c r="F2" s="12"/>
      <c r="G2" s="12"/>
      <c r="H2" s="12"/>
      <c r="I2" s="12"/>
      <c r="J2" s="12"/>
    </row>
    <row r="3" customFormat="false" ht="45.75" hidden="false" customHeight="true" outlineLevel="0" collapsed="false">
      <c r="A3" s="7" t="s">
        <v>98</v>
      </c>
      <c r="B3" s="8" t="s">
        <v>99</v>
      </c>
      <c r="C3" s="8" t="s">
        <v>100</v>
      </c>
      <c r="D3" s="7" t="s">
        <v>101</v>
      </c>
      <c r="E3" s="7" t="s">
        <v>102</v>
      </c>
      <c r="F3" s="7" t="s">
        <v>103</v>
      </c>
      <c r="G3" s="7" t="s">
        <v>104</v>
      </c>
      <c r="H3" s="7" t="s">
        <v>105</v>
      </c>
      <c r="I3" s="7" t="s">
        <v>106</v>
      </c>
    </row>
    <row r="4" customFormat="false" ht="25.5" hidden="false" customHeight="true" outlineLevel="0" collapsed="false">
      <c r="A4" s="3" t="n">
        <v>1</v>
      </c>
      <c r="B4" s="24" t="s">
        <v>107</v>
      </c>
      <c r="C4" s="3" t="s">
        <v>108</v>
      </c>
      <c r="D4" s="25"/>
      <c r="E4" s="26" t="s">
        <v>109</v>
      </c>
      <c r="F4" s="25"/>
      <c r="G4" s="25"/>
      <c r="H4" s="25"/>
      <c r="I4" s="26" t="s">
        <v>109</v>
      </c>
    </row>
    <row r="5" customFormat="false" ht="25.5" hidden="false" customHeight="true" outlineLevel="0" collapsed="false">
      <c r="A5" s="3" t="n">
        <v>2</v>
      </c>
      <c r="B5" s="24" t="s">
        <v>110</v>
      </c>
      <c r="C5" s="3" t="s">
        <v>111</v>
      </c>
      <c r="D5" s="25"/>
      <c r="E5" s="26" t="s">
        <v>109</v>
      </c>
      <c r="F5" s="25"/>
      <c r="G5" s="25"/>
      <c r="H5" s="25"/>
      <c r="I5" s="27" t="s">
        <v>112</v>
      </c>
    </row>
    <row r="6" customFormat="false" ht="25.5" hidden="false" customHeight="true" outlineLevel="0" collapsed="false">
      <c r="A6" s="3" t="n">
        <v>3</v>
      </c>
      <c r="B6" s="24" t="s">
        <v>113</v>
      </c>
      <c r="C6" s="3" t="s">
        <v>114</v>
      </c>
      <c r="D6" s="26" t="s">
        <v>109</v>
      </c>
      <c r="E6" s="25"/>
      <c r="F6" s="27" t="s">
        <v>112</v>
      </c>
      <c r="G6" s="26" t="s">
        <v>109</v>
      </c>
      <c r="H6" s="27" t="s">
        <v>112</v>
      </c>
      <c r="I6" s="25"/>
    </row>
    <row r="7" customFormat="false" ht="25.5" hidden="false" customHeight="true" outlineLevel="0" collapsed="false">
      <c r="A7" s="3" t="n">
        <v>4</v>
      </c>
      <c r="B7" s="24" t="s">
        <v>115</v>
      </c>
      <c r="C7" s="3" t="s">
        <v>114</v>
      </c>
      <c r="D7" s="27" t="s">
        <v>112</v>
      </c>
      <c r="E7" s="25"/>
      <c r="F7" s="25"/>
      <c r="G7" s="25"/>
      <c r="H7" s="26" t="s">
        <v>109</v>
      </c>
      <c r="I7" s="25"/>
    </row>
    <row r="8" customFormat="false" ht="25.5" hidden="false" customHeight="true" outlineLevel="0" collapsed="false">
      <c r="A8" s="3" t="n">
        <v>5</v>
      </c>
      <c r="B8" s="24" t="s">
        <v>116</v>
      </c>
      <c r="C8" s="3" t="s">
        <v>114</v>
      </c>
      <c r="D8" s="25"/>
      <c r="E8" s="26" t="s">
        <v>109</v>
      </c>
      <c r="F8" s="25"/>
      <c r="G8" s="25"/>
      <c r="H8" s="27" t="s">
        <v>112</v>
      </c>
      <c r="I8" s="25"/>
    </row>
    <row r="9" customFormat="false" ht="25.5" hidden="false" customHeight="true" outlineLevel="0" collapsed="false">
      <c r="A9" s="3" t="n">
        <v>6</v>
      </c>
      <c r="B9" s="24" t="s">
        <v>117</v>
      </c>
      <c r="C9" s="3" t="s">
        <v>114</v>
      </c>
      <c r="D9" s="26" t="s">
        <v>109</v>
      </c>
      <c r="E9" s="25"/>
      <c r="F9" s="25"/>
      <c r="G9" s="25"/>
      <c r="H9" s="25"/>
      <c r="I9" s="27" t="s">
        <v>112</v>
      </c>
    </row>
    <row r="10" customFormat="false" ht="25.5" hidden="false" customHeight="true" outlineLevel="0" collapsed="false">
      <c r="A10" s="3" t="n">
        <v>7</v>
      </c>
      <c r="B10" s="24" t="s">
        <v>118</v>
      </c>
      <c r="C10" s="3" t="s">
        <v>119</v>
      </c>
      <c r="D10" s="25"/>
      <c r="E10" s="25"/>
      <c r="F10" s="25"/>
      <c r="G10" s="26" t="s">
        <v>109</v>
      </c>
      <c r="H10" s="25"/>
      <c r="I10" s="27" t="s">
        <v>112</v>
      </c>
    </row>
    <row r="11" customFormat="false" ht="25.5" hidden="false" customHeight="true" outlineLevel="0" collapsed="false">
      <c r="A11" s="3" t="n">
        <v>8</v>
      </c>
      <c r="B11" s="24" t="s">
        <v>120</v>
      </c>
      <c r="C11" s="3" t="s">
        <v>121</v>
      </c>
      <c r="D11" s="27" t="s">
        <v>112</v>
      </c>
      <c r="E11" s="25"/>
      <c r="F11" s="25"/>
      <c r="G11" s="26" t="s">
        <v>109</v>
      </c>
      <c r="H11" s="25"/>
      <c r="I11" s="25"/>
    </row>
    <row r="12" customFormat="false" ht="25.5" hidden="false" customHeight="true" outlineLevel="0" collapsed="false">
      <c r="A12" s="3" t="n">
        <v>9</v>
      </c>
      <c r="B12" s="24" t="s">
        <v>122</v>
      </c>
      <c r="C12" s="3" t="s">
        <v>123</v>
      </c>
      <c r="D12" s="27" t="s">
        <v>112</v>
      </c>
      <c r="E12" s="25"/>
      <c r="F12" s="26" t="s">
        <v>109</v>
      </c>
      <c r="G12" s="25"/>
      <c r="H12" s="25"/>
      <c r="I12" s="25"/>
    </row>
    <row r="13" customFormat="false" ht="25.5" hidden="false" customHeight="true" outlineLevel="0" collapsed="false">
      <c r="A13" s="3" t="n">
        <v>10</v>
      </c>
      <c r="B13" s="24" t="s">
        <v>124</v>
      </c>
      <c r="C13" s="4" t="s">
        <v>125</v>
      </c>
      <c r="D13" s="27" t="s">
        <v>112</v>
      </c>
      <c r="E13" s="26" t="s">
        <v>109</v>
      </c>
      <c r="F13" s="26" t="s">
        <v>109</v>
      </c>
      <c r="G13" s="25"/>
      <c r="H13" s="25"/>
      <c r="I13" s="25"/>
    </row>
    <row r="14" customFormat="false" ht="25.5" hidden="false" customHeight="true" outlineLevel="0" collapsed="false">
      <c r="A14" s="3" t="n">
        <v>11</v>
      </c>
      <c r="B14" s="24" t="s">
        <v>126</v>
      </c>
      <c r="C14" s="3" t="s">
        <v>127</v>
      </c>
      <c r="D14" s="25"/>
      <c r="E14" s="27" t="s">
        <v>112</v>
      </c>
      <c r="F14" s="25"/>
      <c r="G14" s="26" t="s">
        <v>109</v>
      </c>
      <c r="H14" s="25"/>
      <c r="I14" s="25"/>
    </row>
    <row r="15" customFormat="false" ht="25.5" hidden="false" customHeight="true" outlineLevel="0" collapsed="false">
      <c r="A15" s="3" t="n">
        <v>12</v>
      </c>
      <c r="B15" s="24" t="s">
        <v>128</v>
      </c>
      <c r="C15" s="3" t="s">
        <v>129</v>
      </c>
      <c r="D15" s="25"/>
      <c r="E15" s="25"/>
      <c r="F15" s="25"/>
      <c r="G15" s="27" t="s">
        <v>112</v>
      </c>
      <c r="H15" s="25"/>
      <c r="I15" s="26" t="s">
        <v>109</v>
      </c>
    </row>
    <row r="16" customFormat="false" ht="15" hidden="false" customHeight="false" outlineLevel="0" collapsed="false">
      <c r="C16" s="28" t="s">
        <v>130</v>
      </c>
      <c r="D16" s="19" t="s">
        <v>131</v>
      </c>
      <c r="E16" s="19" t="s">
        <v>132</v>
      </c>
      <c r="F16" s="19" t="s">
        <v>133</v>
      </c>
      <c r="G16" s="19" t="s">
        <v>134</v>
      </c>
      <c r="H16" s="19" t="s">
        <v>135</v>
      </c>
      <c r="I16" s="19" t="s">
        <v>136</v>
      </c>
    </row>
    <row r="17" customFormat="false" ht="15" hidden="false" customHeight="false" outlineLevel="0" collapsed="false">
      <c r="C17" s="29" t="s">
        <v>137</v>
      </c>
      <c r="D17" s="30" t="n">
        <v>4</v>
      </c>
      <c r="E17" s="30" t="n">
        <v>4.5</v>
      </c>
      <c r="F17" s="30" t="n">
        <v>2.5</v>
      </c>
      <c r="G17" s="30" t="n">
        <v>5</v>
      </c>
      <c r="H17" s="30" t="n">
        <v>2</v>
      </c>
      <c r="I17" s="30" t="n">
        <v>4.5</v>
      </c>
    </row>
    <row r="18" customFormat="false" ht="15" hidden="false" customHeight="false" outlineLevel="0" collapsed="false">
      <c r="C18" s="31" t="s">
        <v>138</v>
      </c>
      <c r="D18" s="32" t="n">
        <v>18</v>
      </c>
      <c r="E18" s="32" t="n">
        <v>20</v>
      </c>
      <c r="F18" s="32" t="n">
        <v>11</v>
      </c>
      <c r="G18" s="32" t="n">
        <v>22</v>
      </c>
      <c r="H18" s="32" t="n">
        <v>9</v>
      </c>
      <c r="I18" s="32" t="n">
        <v>20</v>
      </c>
    </row>
    <row r="20" customFormat="false" ht="15" hidden="false" customHeight="true" outlineLevel="0" collapsed="false">
      <c r="A20" s="33" t="s">
        <v>139</v>
      </c>
      <c r="B20" s="33"/>
      <c r="C20" s="33"/>
      <c r="D20" s="33"/>
      <c r="E20" s="33"/>
      <c r="F20" s="33"/>
      <c r="G20" s="33"/>
      <c r="H20" s="33"/>
      <c r="I20" s="33"/>
    </row>
  </sheetData>
  <mergeCells count="3">
    <mergeCell ref="A1:J1"/>
    <mergeCell ref="A2:J2"/>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4"/>
    <col collapsed="false" customWidth="true" hidden="false" outlineLevel="0" max="9" min="4" style="0" width="10"/>
    <col collapsed="false" customWidth="true" hidden="false" outlineLevel="0" max="15" min="10" style="0" width="8"/>
    <col collapsed="false" customWidth="true" hidden="false" outlineLevel="0" max="16" min="16" style="0" width="9"/>
    <col collapsed="false" customWidth="true" hidden="false" outlineLevel="0" max="18" min="17" style="0" width="7"/>
    <col collapsed="false" customWidth="true" hidden="false" outlineLevel="0" max="22" min="19" style="0" width="11"/>
    <col collapsed="false" customWidth="true" hidden="false" outlineLevel="0" max="23" min="23" style="0" width="22"/>
    <col collapsed="false" customWidth="true" hidden="false" outlineLevel="0" max="24" min="24" style="0" width="46"/>
    <col collapsed="false" customWidth="true" hidden="false" outlineLevel="0" max="25" min="25" style="0" width="11"/>
  </cols>
  <sheetData>
    <row r="1" customFormat="false" ht="30" hidden="false" customHeight="true" outlineLevel="0" collapsed="false">
      <c r="A1" s="23" t="s">
        <v>140</v>
      </c>
      <c r="B1" s="23"/>
      <c r="C1" s="23"/>
      <c r="D1" s="23"/>
      <c r="E1" s="23"/>
      <c r="F1" s="23"/>
      <c r="G1" s="23"/>
      <c r="H1" s="23"/>
      <c r="I1" s="23"/>
      <c r="J1" s="23"/>
      <c r="K1" s="23"/>
      <c r="L1" s="23"/>
      <c r="M1" s="23"/>
      <c r="N1" s="23"/>
      <c r="O1" s="23"/>
      <c r="P1" s="23"/>
      <c r="Q1" s="23"/>
      <c r="R1" s="23"/>
      <c r="S1" s="23"/>
      <c r="T1" s="23"/>
      <c r="U1" s="23"/>
      <c r="V1" s="23"/>
      <c r="W1" s="23"/>
      <c r="X1" s="23"/>
      <c r="Y1" s="23"/>
    </row>
    <row r="2" customFormat="false" ht="25.5" hidden="false" customHeight="true" outlineLevel="0" collapsed="false">
      <c r="A2" s="12" t="s">
        <v>141</v>
      </c>
      <c r="B2" s="12"/>
      <c r="C2" s="12"/>
      <c r="D2" s="12"/>
      <c r="E2" s="12"/>
      <c r="F2" s="12"/>
      <c r="G2" s="12"/>
      <c r="H2" s="12"/>
      <c r="I2" s="12"/>
      <c r="J2" s="12"/>
      <c r="K2" s="12"/>
      <c r="L2" s="12"/>
      <c r="M2" s="12"/>
      <c r="N2" s="12"/>
      <c r="O2" s="12"/>
      <c r="P2" s="12"/>
      <c r="Q2" s="12"/>
      <c r="R2" s="12"/>
      <c r="S2" s="12"/>
      <c r="T2" s="12"/>
      <c r="U2" s="12"/>
      <c r="V2" s="12"/>
      <c r="W2" s="12"/>
      <c r="X2" s="12"/>
      <c r="Y2" s="12"/>
    </row>
    <row r="4" customFormat="false" ht="48" hidden="false" customHeight="true" outlineLevel="0" collapsed="false">
      <c r="A4" s="7" t="s">
        <v>98</v>
      </c>
      <c r="B4" s="8" t="s">
        <v>142</v>
      </c>
      <c r="C4" s="8" t="s">
        <v>143</v>
      </c>
      <c r="D4" s="7" t="s">
        <v>144</v>
      </c>
      <c r="E4" s="7" t="s">
        <v>145</v>
      </c>
      <c r="F4" s="7" t="s">
        <v>146</v>
      </c>
      <c r="G4" s="7" t="s">
        <v>147</v>
      </c>
      <c r="H4" s="7" t="s">
        <v>148</v>
      </c>
      <c r="I4" s="7" t="s">
        <v>149</v>
      </c>
      <c r="J4" s="7" t="s">
        <v>150</v>
      </c>
      <c r="K4" s="7" t="s">
        <v>151</v>
      </c>
      <c r="L4" s="7" t="s">
        <v>152</v>
      </c>
      <c r="M4" s="7" t="s">
        <v>153</v>
      </c>
      <c r="N4" s="7" t="s">
        <v>154</v>
      </c>
      <c r="O4" s="7" t="s">
        <v>155</v>
      </c>
      <c r="P4" s="8" t="s">
        <v>156</v>
      </c>
      <c r="Q4" s="8" t="s">
        <v>157</v>
      </c>
      <c r="R4" s="8" t="s">
        <v>158</v>
      </c>
      <c r="S4" s="7" t="s">
        <v>159</v>
      </c>
      <c r="T4" s="7" t="s">
        <v>160</v>
      </c>
      <c r="U4" s="7" t="s">
        <v>161</v>
      </c>
      <c r="V4" s="7" t="s">
        <v>162</v>
      </c>
      <c r="W4" s="8" t="s">
        <v>163</v>
      </c>
      <c r="X4" s="7" t="s">
        <v>164</v>
      </c>
      <c r="Y4" s="8" t="s">
        <v>165</v>
      </c>
    </row>
    <row r="5" customFormat="false" ht="15" hidden="false" customHeight="false" outlineLevel="0" collapsed="false">
      <c r="C5" s="34" t="s">
        <v>166</v>
      </c>
      <c r="D5" s="35" t="n">
        <v>18</v>
      </c>
      <c r="E5" s="35" t="n">
        <v>20</v>
      </c>
      <c r="F5" s="35" t="n">
        <v>11</v>
      </c>
      <c r="G5" s="35" t="n">
        <v>22</v>
      </c>
      <c r="H5" s="35" t="n">
        <v>9</v>
      </c>
      <c r="I5" s="35" t="n">
        <v>20</v>
      </c>
      <c r="P5" s="11" t="n">
        <f aca="false">D5+E5+F5+G5+H5+I5</f>
        <v>100</v>
      </c>
      <c r="X5" s="36" t="s">
        <v>167</v>
      </c>
    </row>
    <row r="6" customFormat="false" ht="33.75" hidden="false" customHeight="true" outlineLevel="0" collapsed="false">
      <c r="A6" s="37" t="s">
        <v>168</v>
      </c>
      <c r="B6" s="38" t="s">
        <v>169</v>
      </c>
      <c r="C6" s="38" t="s">
        <v>170</v>
      </c>
      <c r="D6" s="39" t="n">
        <v>4</v>
      </c>
      <c r="E6" s="39" t="n">
        <v>5</v>
      </c>
      <c r="F6" s="39" t="n">
        <v>3</v>
      </c>
      <c r="G6" s="39" t="n">
        <v>4</v>
      </c>
      <c r="H6" s="39" t="n">
        <v>4</v>
      </c>
      <c r="I6" s="39" t="n">
        <v>5</v>
      </c>
      <c r="J6" s="40" t="n">
        <f aca="false">IF(D6="","",ROUND(D6/5*$D$5,1))</f>
        <v>14.4</v>
      </c>
      <c r="K6" s="40" t="n">
        <f aca="false">IF(E6="","",ROUND(E6/5*$E$5,1))</f>
        <v>20</v>
      </c>
      <c r="L6" s="40" t="n">
        <f aca="false">IF(F6="","",ROUND(F6/5*$F$5,1))</f>
        <v>6.6</v>
      </c>
      <c r="M6" s="40" t="n">
        <f aca="false">IF(G6="","",ROUND(G6/5*$G$5,1))</f>
        <v>17.6</v>
      </c>
      <c r="N6" s="40" t="n">
        <f aca="false">IF(H6="","",ROUND(H6/5*$H$5,1))</f>
        <v>7.2</v>
      </c>
      <c r="O6" s="40" t="n">
        <f aca="false">IF(I6="","",ROUND(I6/5*$I$5,1))</f>
        <v>20</v>
      </c>
      <c r="P6" s="41" t="n">
        <f aca="false">IF(COUNT(D6:I6)&lt;6,"",ROUND(SUM(J6:O6),1))</f>
        <v>85.8</v>
      </c>
      <c r="Q6" s="42" t="str">
        <f aca="false">IF(P6="","",IF(P6&gt;=80,"S",IF(P6&gt;=65,"A",IF(P6&gt;=50,"B","C"))))</f>
        <v>S</v>
      </c>
      <c r="R6" s="30" t="s">
        <v>171</v>
      </c>
      <c r="S6" s="39"/>
      <c r="T6" s="39"/>
      <c r="U6" s="39"/>
      <c r="V6" s="39"/>
      <c r="W6" s="43" t="str">
        <f aca="false">IF(COUNT(D6:I6)=0,"",IF(IF(AND(S6&lt;&gt;"",E6&gt;3),1,0)+IF(AND(T6&lt;&gt;"",OR(E6&gt;2 ,F6&gt;2)),1,0)+IF(AND(U6&lt;&gt;"",D6&gt;2),1,0)+IF(AND(V6&lt;&gt;"",I6&gt;2),1,0)=0,"OK","上限超過: "&amp;IF(AND(S6&lt;&gt;"",E6&gt;3),"F1 ","")&amp;IF(AND(T6&lt;&gt;"",OR(E6&gt;2 ,F6&gt;2)),"F2 ","")&amp;IF(AND(U6&lt;&gt;"",D6&gt;2),"F3 ","")&amp;IF(AND(V6&lt;&gt;"",I6&gt;2),"F4 ","")))</f>
        <v>OK</v>
      </c>
      <c r="X6" s="38" t="s">
        <v>172</v>
      </c>
      <c r="Y6" s="44" t="s">
        <v>173</v>
      </c>
    </row>
    <row r="7" customFormat="false" ht="15" hidden="false" customHeight="false" outlineLevel="0" collapsed="false">
      <c r="A7" s="45" t="n">
        <v>1</v>
      </c>
      <c r="B7" s="46"/>
      <c r="C7" s="46"/>
      <c r="D7" s="47"/>
      <c r="E7" s="47"/>
      <c r="F7" s="47"/>
      <c r="G7" s="47"/>
      <c r="H7" s="47"/>
      <c r="I7" s="47"/>
      <c r="J7" s="48" t="str">
        <f aca="false">IF(D7="","",ROUND(D7/5*$D$5,1))</f>
        <v/>
      </c>
      <c r="K7" s="48" t="str">
        <f aca="false">IF(E7="","",ROUND(E7/5*$E$5,1))</f>
        <v/>
      </c>
      <c r="L7" s="48" t="str">
        <f aca="false">IF(F7="","",ROUND(F7/5*$F$5,1))</f>
        <v/>
      </c>
      <c r="M7" s="48" t="str">
        <f aca="false">IF(G7="","",ROUND(G7/5*$G$5,1))</f>
        <v/>
      </c>
      <c r="N7" s="48" t="str">
        <f aca="false">IF(H7="","",ROUND(H7/5*$H$5,1))</f>
        <v/>
      </c>
      <c r="O7" s="48" t="str">
        <f aca="false">IF(I7="","",ROUND(I7/5*$I$5,1))</f>
        <v/>
      </c>
      <c r="P7" s="49" t="str">
        <f aca="false">IF(COUNT(D7:I7)&lt;6,"",ROUND(SUM(J7:O7),1))</f>
        <v/>
      </c>
      <c r="Q7" s="50" t="str">
        <f aca="false">IF(P7="","",IF(P7&gt;=80,"S",IF(P7&gt;=65,"A",IF(P7&gt;=50,"B","C"))))</f>
        <v/>
      </c>
      <c r="R7" s="45" t="str">
        <f aca="false">IF(P7="","",RANK(P7,$P$7:$P$36))</f>
        <v/>
      </c>
      <c r="S7" s="47"/>
      <c r="T7" s="47"/>
      <c r="U7" s="47"/>
      <c r="V7" s="47"/>
      <c r="W7" s="3" t="str">
        <f aca="false">IF(COUNT(D7:I7)=0,"",IF(IF(AND(S7&lt;&gt;"",E7&gt;3),1,0)+IF(AND(T7&lt;&gt;"",OR(E7&gt;2 ,F7&gt;2)),1,0)+IF(AND(U7&lt;&gt;"",D7&gt;2),1,0)+IF(AND(V7&lt;&gt;"",I7&gt;2),1,0)=0,"OK","上限超過: "&amp;IF(AND(S7&lt;&gt;"",E7&gt;3),"F1 ","")&amp;IF(AND(T7&lt;&gt;"",OR(E7&gt;2 ,F7&gt;2)),"F2 ","")&amp;IF(AND(U7&lt;&gt;"",D7&gt;2),"F3 ","")&amp;IF(AND(V7&lt;&gt;"",I7&gt;2),"F4 ","")))</f>
        <v/>
      </c>
      <c r="X7" s="46"/>
      <c r="Y7" s="47"/>
    </row>
    <row r="8" customFormat="false" ht="15" hidden="false" customHeight="false" outlineLevel="0" collapsed="false">
      <c r="A8" s="45" t="n">
        <v>2</v>
      </c>
      <c r="B8" s="46"/>
      <c r="C8" s="46"/>
      <c r="D8" s="47"/>
      <c r="E8" s="47"/>
      <c r="F8" s="47"/>
      <c r="G8" s="47"/>
      <c r="H8" s="47"/>
      <c r="I8" s="47"/>
      <c r="J8" s="48" t="str">
        <f aca="false">IF(D8="","",ROUND(D8/5*$D$5,1))</f>
        <v/>
      </c>
      <c r="K8" s="48" t="str">
        <f aca="false">IF(E8="","",ROUND(E8/5*$E$5,1))</f>
        <v/>
      </c>
      <c r="L8" s="48" t="str">
        <f aca="false">IF(F8="","",ROUND(F8/5*$F$5,1))</f>
        <v/>
      </c>
      <c r="M8" s="48" t="str">
        <f aca="false">IF(G8="","",ROUND(G8/5*$G$5,1))</f>
        <v/>
      </c>
      <c r="N8" s="48" t="str">
        <f aca="false">IF(H8="","",ROUND(H8/5*$H$5,1))</f>
        <v/>
      </c>
      <c r="O8" s="48" t="str">
        <f aca="false">IF(I8="","",ROUND(I8/5*$I$5,1))</f>
        <v/>
      </c>
      <c r="P8" s="49" t="str">
        <f aca="false">IF(COUNT(D8:I8)&lt;6,"",ROUND(SUM(J8:O8),1))</f>
        <v/>
      </c>
      <c r="Q8" s="50" t="str">
        <f aca="false">IF(P8="","",IF(P8&gt;=80,"S",IF(P8&gt;=65,"A",IF(P8&gt;=50,"B","C"))))</f>
        <v/>
      </c>
      <c r="R8" s="45" t="str">
        <f aca="false">IF(P8="","",RANK(P8,$P$7:$P$36))</f>
        <v/>
      </c>
      <c r="S8" s="47"/>
      <c r="T8" s="47"/>
      <c r="U8" s="47"/>
      <c r="V8" s="47"/>
      <c r="W8" s="3" t="str">
        <f aca="false">IF(COUNT(D8:I8)=0,"",IF(IF(AND(S8&lt;&gt;"",E8&gt;3),1,0)+IF(AND(T8&lt;&gt;"",OR(E8&gt;2 ,F8&gt;2)),1,0)+IF(AND(U8&lt;&gt;"",D8&gt;2),1,0)+IF(AND(V8&lt;&gt;"",I8&gt;2),1,0)=0,"OK","上限超過: "&amp;IF(AND(S8&lt;&gt;"",E8&gt;3),"F1 ","")&amp;IF(AND(T8&lt;&gt;"",OR(E8&gt;2 ,F8&gt;2)),"F2 ","")&amp;IF(AND(U8&lt;&gt;"",D8&gt;2),"F3 ","")&amp;IF(AND(V8&lt;&gt;"",I8&gt;2),"F4 ","")))</f>
        <v/>
      </c>
      <c r="X8" s="46"/>
      <c r="Y8" s="47"/>
    </row>
    <row r="9" customFormat="false" ht="15" hidden="false" customHeight="false" outlineLevel="0" collapsed="false">
      <c r="A9" s="45" t="n">
        <v>3</v>
      </c>
      <c r="B9" s="46"/>
      <c r="C9" s="46"/>
      <c r="D9" s="47"/>
      <c r="E9" s="47"/>
      <c r="F9" s="47"/>
      <c r="G9" s="47"/>
      <c r="H9" s="47"/>
      <c r="I9" s="47"/>
      <c r="J9" s="48" t="str">
        <f aca="false">IF(D9="","",ROUND(D9/5*$D$5,1))</f>
        <v/>
      </c>
      <c r="K9" s="48" t="str">
        <f aca="false">IF(E9="","",ROUND(E9/5*$E$5,1))</f>
        <v/>
      </c>
      <c r="L9" s="48" t="str">
        <f aca="false">IF(F9="","",ROUND(F9/5*$F$5,1))</f>
        <v/>
      </c>
      <c r="M9" s="48" t="str">
        <f aca="false">IF(G9="","",ROUND(G9/5*$G$5,1))</f>
        <v/>
      </c>
      <c r="N9" s="48" t="str">
        <f aca="false">IF(H9="","",ROUND(H9/5*$H$5,1))</f>
        <v/>
      </c>
      <c r="O9" s="48" t="str">
        <f aca="false">IF(I9="","",ROUND(I9/5*$I$5,1))</f>
        <v/>
      </c>
      <c r="P9" s="49" t="str">
        <f aca="false">IF(COUNT(D9:I9)&lt;6,"",ROUND(SUM(J9:O9),1))</f>
        <v/>
      </c>
      <c r="Q9" s="50" t="str">
        <f aca="false">IF(P9="","",IF(P9&gt;=80,"S",IF(P9&gt;=65,"A",IF(P9&gt;=50,"B","C"))))</f>
        <v/>
      </c>
      <c r="R9" s="45" t="str">
        <f aca="false">IF(P9="","",RANK(P9,$P$7:$P$36))</f>
        <v/>
      </c>
      <c r="S9" s="47"/>
      <c r="T9" s="47"/>
      <c r="U9" s="47"/>
      <c r="V9" s="47"/>
      <c r="W9" s="3" t="str">
        <f aca="false">IF(COUNT(D9:I9)=0,"",IF(IF(AND(S9&lt;&gt;"",E9&gt;3),1,0)+IF(AND(T9&lt;&gt;"",OR(E9&gt;2 ,F9&gt;2)),1,0)+IF(AND(U9&lt;&gt;"",D9&gt;2),1,0)+IF(AND(V9&lt;&gt;"",I9&gt;2),1,0)=0,"OK","上限超過: "&amp;IF(AND(S9&lt;&gt;"",E9&gt;3),"F1 ","")&amp;IF(AND(T9&lt;&gt;"",OR(E9&gt;2 ,F9&gt;2)),"F2 ","")&amp;IF(AND(U9&lt;&gt;"",D9&gt;2),"F3 ","")&amp;IF(AND(V9&lt;&gt;"",I9&gt;2),"F4 ","")))</f>
        <v/>
      </c>
      <c r="X9" s="46"/>
      <c r="Y9" s="47"/>
    </row>
    <row r="10" customFormat="false" ht="15" hidden="false" customHeight="false" outlineLevel="0" collapsed="false">
      <c r="A10" s="45" t="n">
        <v>4</v>
      </c>
      <c r="B10" s="46"/>
      <c r="C10" s="46"/>
      <c r="D10" s="47"/>
      <c r="E10" s="47"/>
      <c r="F10" s="47"/>
      <c r="G10" s="47"/>
      <c r="H10" s="47"/>
      <c r="I10" s="47"/>
      <c r="J10" s="48" t="str">
        <f aca="false">IF(D10="","",ROUND(D10/5*$D$5,1))</f>
        <v/>
      </c>
      <c r="K10" s="48" t="str">
        <f aca="false">IF(E10="","",ROUND(E10/5*$E$5,1))</f>
        <v/>
      </c>
      <c r="L10" s="48" t="str">
        <f aca="false">IF(F10="","",ROUND(F10/5*$F$5,1))</f>
        <v/>
      </c>
      <c r="M10" s="48" t="str">
        <f aca="false">IF(G10="","",ROUND(G10/5*$G$5,1))</f>
        <v/>
      </c>
      <c r="N10" s="48" t="str">
        <f aca="false">IF(H10="","",ROUND(H10/5*$H$5,1))</f>
        <v/>
      </c>
      <c r="O10" s="48" t="str">
        <f aca="false">IF(I10="","",ROUND(I10/5*$I$5,1))</f>
        <v/>
      </c>
      <c r="P10" s="49" t="str">
        <f aca="false">IF(COUNT(D10:I10)&lt;6,"",ROUND(SUM(J10:O10),1))</f>
        <v/>
      </c>
      <c r="Q10" s="50" t="str">
        <f aca="false">IF(P10="","",IF(P10&gt;=80,"S",IF(P10&gt;=65,"A",IF(P10&gt;=50,"B","C"))))</f>
        <v/>
      </c>
      <c r="R10" s="45" t="str">
        <f aca="false">IF(P10="","",RANK(P10,$P$7:$P$36))</f>
        <v/>
      </c>
      <c r="S10" s="47"/>
      <c r="T10" s="47"/>
      <c r="U10" s="47"/>
      <c r="V10" s="47"/>
      <c r="W10" s="3" t="str">
        <f aca="false">IF(COUNT(D10:I10)=0,"",IF(IF(AND(S10&lt;&gt;"",E10&gt;3),1,0)+IF(AND(T10&lt;&gt;"",OR(E10&gt;2 ,F10&gt;2)),1,0)+IF(AND(U10&lt;&gt;"",D10&gt;2),1,0)+IF(AND(V10&lt;&gt;"",I10&gt;2),1,0)=0,"OK","上限超過: "&amp;IF(AND(S10&lt;&gt;"",E10&gt;3),"F1 ","")&amp;IF(AND(T10&lt;&gt;"",OR(E10&gt;2 ,F10&gt;2)),"F2 ","")&amp;IF(AND(U10&lt;&gt;"",D10&gt;2),"F3 ","")&amp;IF(AND(V10&lt;&gt;"",I10&gt;2),"F4 ","")))</f>
        <v/>
      </c>
      <c r="X10" s="46"/>
      <c r="Y10" s="47"/>
    </row>
    <row r="11" customFormat="false" ht="15" hidden="false" customHeight="false" outlineLevel="0" collapsed="false">
      <c r="A11" s="45" t="n">
        <v>5</v>
      </c>
      <c r="B11" s="46"/>
      <c r="C11" s="46"/>
      <c r="D11" s="47"/>
      <c r="E11" s="47"/>
      <c r="F11" s="47"/>
      <c r="G11" s="47"/>
      <c r="H11" s="47"/>
      <c r="I11" s="47"/>
      <c r="J11" s="48" t="str">
        <f aca="false">IF(D11="","",ROUND(D11/5*$D$5,1))</f>
        <v/>
      </c>
      <c r="K11" s="48" t="str">
        <f aca="false">IF(E11="","",ROUND(E11/5*$E$5,1))</f>
        <v/>
      </c>
      <c r="L11" s="48" t="str">
        <f aca="false">IF(F11="","",ROUND(F11/5*$F$5,1))</f>
        <v/>
      </c>
      <c r="M11" s="48" t="str">
        <f aca="false">IF(G11="","",ROUND(G11/5*$G$5,1))</f>
        <v/>
      </c>
      <c r="N11" s="48" t="str">
        <f aca="false">IF(H11="","",ROUND(H11/5*$H$5,1))</f>
        <v/>
      </c>
      <c r="O11" s="48" t="str">
        <f aca="false">IF(I11="","",ROUND(I11/5*$I$5,1))</f>
        <v/>
      </c>
      <c r="P11" s="49" t="str">
        <f aca="false">IF(COUNT(D11:I11)&lt;6,"",ROUND(SUM(J11:O11),1))</f>
        <v/>
      </c>
      <c r="Q11" s="50" t="str">
        <f aca="false">IF(P11="","",IF(P11&gt;=80,"S",IF(P11&gt;=65,"A",IF(P11&gt;=50,"B","C"))))</f>
        <v/>
      </c>
      <c r="R11" s="45" t="str">
        <f aca="false">IF(P11="","",RANK(P11,$P$7:$P$36))</f>
        <v/>
      </c>
      <c r="S11" s="47"/>
      <c r="T11" s="47"/>
      <c r="U11" s="47"/>
      <c r="V11" s="47"/>
      <c r="W11" s="3" t="str">
        <f aca="false">IF(COUNT(D11:I11)=0,"",IF(IF(AND(S11&lt;&gt;"",E11&gt;3),1,0)+IF(AND(T11&lt;&gt;"",OR(E11&gt;2 ,F11&gt;2)),1,0)+IF(AND(U11&lt;&gt;"",D11&gt;2),1,0)+IF(AND(V11&lt;&gt;"",I11&gt;2),1,0)=0,"OK","上限超過: "&amp;IF(AND(S11&lt;&gt;"",E11&gt;3),"F1 ","")&amp;IF(AND(T11&lt;&gt;"",OR(E11&gt;2 ,F11&gt;2)),"F2 ","")&amp;IF(AND(U11&lt;&gt;"",D11&gt;2),"F3 ","")&amp;IF(AND(V11&lt;&gt;"",I11&gt;2),"F4 ","")))</f>
        <v/>
      </c>
      <c r="X11" s="46"/>
      <c r="Y11" s="47"/>
    </row>
    <row r="12" customFormat="false" ht="15" hidden="false" customHeight="false" outlineLevel="0" collapsed="false">
      <c r="A12" s="45" t="n">
        <v>6</v>
      </c>
      <c r="B12" s="46"/>
      <c r="C12" s="46"/>
      <c r="D12" s="47"/>
      <c r="E12" s="47"/>
      <c r="F12" s="47"/>
      <c r="G12" s="47"/>
      <c r="H12" s="47"/>
      <c r="I12" s="47"/>
      <c r="J12" s="48" t="str">
        <f aca="false">IF(D12="","",ROUND(D12/5*$D$5,1))</f>
        <v/>
      </c>
      <c r="K12" s="48" t="str">
        <f aca="false">IF(E12="","",ROUND(E12/5*$E$5,1))</f>
        <v/>
      </c>
      <c r="L12" s="48" t="str">
        <f aca="false">IF(F12="","",ROUND(F12/5*$F$5,1))</f>
        <v/>
      </c>
      <c r="M12" s="48" t="str">
        <f aca="false">IF(G12="","",ROUND(G12/5*$G$5,1))</f>
        <v/>
      </c>
      <c r="N12" s="48" t="str">
        <f aca="false">IF(H12="","",ROUND(H12/5*$H$5,1))</f>
        <v/>
      </c>
      <c r="O12" s="48" t="str">
        <f aca="false">IF(I12="","",ROUND(I12/5*$I$5,1))</f>
        <v/>
      </c>
      <c r="P12" s="49" t="str">
        <f aca="false">IF(COUNT(D12:I12)&lt;6,"",ROUND(SUM(J12:O12),1))</f>
        <v/>
      </c>
      <c r="Q12" s="50" t="str">
        <f aca="false">IF(P12="","",IF(P12&gt;=80,"S",IF(P12&gt;=65,"A",IF(P12&gt;=50,"B","C"))))</f>
        <v/>
      </c>
      <c r="R12" s="45" t="str">
        <f aca="false">IF(P12="","",RANK(P12,$P$7:$P$36))</f>
        <v/>
      </c>
      <c r="S12" s="47"/>
      <c r="T12" s="47"/>
      <c r="U12" s="47"/>
      <c r="V12" s="47"/>
      <c r="W12" s="3" t="str">
        <f aca="false">IF(COUNT(D12:I12)=0,"",IF(IF(AND(S12&lt;&gt;"",E12&gt;3),1,0)+IF(AND(T12&lt;&gt;"",OR(E12&gt;2 ,F12&gt;2)),1,0)+IF(AND(U12&lt;&gt;"",D12&gt;2),1,0)+IF(AND(V12&lt;&gt;"",I12&gt;2),1,0)=0,"OK","上限超過: "&amp;IF(AND(S12&lt;&gt;"",E12&gt;3),"F1 ","")&amp;IF(AND(T12&lt;&gt;"",OR(E12&gt;2 ,F12&gt;2)),"F2 ","")&amp;IF(AND(U12&lt;&gt;"",D12&gt;2),"F3 ","")&amp;IF(AND(V12&lt;&gt;"",I12&gt;2),"F4 ","")))</f>
        <v/>
      </c>
      <c r="X12" s="46"/>
      <c r="Y12" s="47"/>
    </row>
    <row r="13" customFormat="false" ht="15" hidden="false" customHeight="false" outlineLevel="0" collapsed="false">
      <c r="A13" s="45" t="n">
        <v>7</v>
      </c>
      <c r="B13" s="46"/>
      <c r="C13" s="46"/>
      <c r="D13" s="47"/>
      <c r="E13" s="47"/>
      <c r="F13" s="47"/>
      <c r="G13" s="47"/>
      <c r="H13" s="47"/>
      <c r="I13" s="47"/>
      <c r="J13" s="48" t="str">
        <f aca="false">IF(D13="","",ROUND(D13/5*$D$5,1))</f>
        <v/>
      </c>
      <c r="K13" s="48" t="str">
        <f aca="false">IF(E13="","",ROUND(E13/5*$E$5,1))</f>
        <v/>
      </c>
      <c r="L13" s="48" t="str">
        <f aca="false">IF(F13="","",ROUND(F13/5*$F$5,1))</f>
        <v/>
      </c>
      <c r="M13" s="48" t="str">
        <f aca="false">IF(G13="","",ROUND(G13/5*$G$5,1))</f>
        <v/>
      </c>
      <c r="N13" s="48" t="str">
        <f aca="false">IF(H13="","",ROUND(H13/5*$H$5,1))</f>
        <v/>
      </c>
      <c r="O13" s="48" t="str">
        <f aca="false">IF(I13="","",ROUND(I13/5*$I$5,1))</f>
        <v/>
      </c>
      <c r="P13" s="49" t="str">
        <f aca="false">IF(COUNT(D13:I13)&lt;6,"",ROUND(SUM(J13:O13),1))</f>
        <v/>
      </c>
      <c r="Q13" s="50" t="str">
        <f aca="false">IF(P13="","",IF(P13&gt;=80,"S",IF(P13&gt;=65,"A",IF(P13&gt;=50,"B","C"))))</f>
        <v/>
      </c>
      <c r="R13" s="45" t="str">
        <f aca="false">IF(P13="","",RANK(P13,$P$7:$P$36))</f>
        <v/>
      </c>
      <c r="S13" s="47"/>
      <c r="T13" s="47"/>
      <c r="U13" s="47"/>
      <c r="V13" s="47"/>
      <c r="W13" s="3" t="str">
        <f aca="false">IF(COUNT(D13:I13)=0,"",IF(IF(AND(S13&lt;&gt;"",E13&gt;3),1,0)+IF(AND(T13&lt;&gt;"",OR(E13&gt;2 ,F13&gt;2)),1,0)+IF(AND(U13&lt;&gt;"",D13&gt;2),1,0)+IF(AND(V13&lt;&gt;"",I13&gt;2),1,0)=0,"OK","上限超過: "&amp;IF(AND(S13&lt;&gt;"",E13&gt;3),"F1 ","")&amp;IF(AND(T13&lt;&gt;"",OR(E13&gt;2 ,F13&gt;2)),"F2 ","")&amp;IF(AND(U13&lt;&gt;"",D13&gt;2),"F3 ","")&amp;IF(AND(V13&lt;&gt;"",I13&gt;2),"F4 ","")))</f>
        <v/>
      </c>
      <c r="X13" s="46"/>
      <c r="Y13" s="47"/>
    </row>
    <row r="14" customFormat="false" ht="15" hidden="false" customHeight="false" outlineLevel="0" collapsed="false">
      <c r="A14" s="45" t="n">
        <v>8</v>
      </c>
      <c r="B14" s="46"/>
      <c r="C14" s="46"/>
      <c r="D14" s="47"/>
      <c r="E14" s="47"/>
      <c r="F14" s="47"/>
      <c r="G14" s="47"/>
      <c r="H14" s="47"/>
      <c r="I14" s="47"/>
      <c r="J14" s="48" t="str">
        <f aca="false">IF(D14="","",ROUND(D14/5*$D$5,1))</f>
        <v/>
      </c>
      <c r="K14" s="48" t="str">
        <f aca="false">IF(E14="","",ROUND(E14/5*$E$5,1))</f>
        <v/>
      </c>
      <c r="L14" s="48" t="str">
        <f aca="false">IF(F14="","",ROUND(F14/5*$F$5,1))</f>
        <v/>
      </c>
      <c r="M14" s="48" t="str">
        <f aca="false">IF(G14="","",ROUND(G14/5*$G$5,1))</f>
        <v/>
      </c>
      <c r="N14" s="48" t="str">
        <f aca="false">IF(H14="","",ROUND(H14/5*$H$5,1))</f>
        <v/>
      </c>
      <c r="O14" s="48" t="str">
        <f aca="false">IF(I14="","",ROUND(I14/5*$I$5,1))</f>
        <v/>
      </c>
      <c r="P14" s="49" t="str">
        <f aca="false">IF(COUNT(D14:I14)&lt;6,"",ROUND(SUM(J14:O14),1))</f>
        <v/>
      </c>
      <c r="Q14" s="50" t="str">
        <f aca="false">IF(P14="","",IF(P14&gt;=80,"S",IF(P14&gt;=65,"A",IF(P14&gt;=50,"B","C"))))</f>
        <v/>
      </c>
      <c r="R14" s="45" t="str">
        <f aca="false">IF(P14="","",RANK(P14,$P$7:$P$36))</f>
        <v/>
      </c>
      <c r="S14" s="47"/>
      <c r="T14" s="47"/>
      <c r="U14" s="47"/>
      <c r="V14" s="47"/>
      <c r="W14" s="3" t="str">
        <f aca="false">IF(COUNT(D14:I14)=0,"",IF(IF(AND(S14&lt;&gt;"",E14&gt;3),1,0)+IF(AND(T14&lt;&gt;"",OR(E14&gt;2 ,F14&gt;2)),1,0)+IF(AND(U14&lt;&gt;"",D14&gt;2),1,0)+IF(AND(V14&lt;&gt;"",I14&gt;2),1,0)=0,"OK","上限超過: "&amp;IF(AND(S14&lt;&gt;"",E14&gt;3),"F1 ","")&amp;IF(AND(T14&lt;&gt;"",OR(E14&gt;2 ,F14&gt;2)),"F2 ","")&amp;IF(AND(U14&lt;&gt;"",D14&gt;2),"F3 ","")&amp;IF(AND(V14&lt;&gt;"",I14&gt;2),"F4 ","")))</f>
        <v/>
      </c>
      <c r="X14" s="46"/>
      <c r="Y14" s="47"/>
    </row>
    <row r="15" customFormat="false" ht="15" hidden="false" customHeight="false" outlineLevel="0" collapsed="false">
      <c r="A15" s="45" t="n">
        <v>9</v>
      </c>
      <c r="B15" s="46"/>
      <c r="C15" s="46"/>
      <c r="D15" s="47"/>
      <c r="E15" s="47"/>
      <c r="F15" s="47"/>
      <c r="G15" s="47"/>
      <c r="H15" s="47"/>
      <c r="I15" s="47"/>
      <c r="J15" s="48" t="str">
        <f aca="false">IF(D15="","",ROUND(D15/5*$D$5,1))</f>
        <v/>
      </c>
      <c r="K15" s="48" t="str">
        <f aca="false">IF(E15="","",ROUND(E15/5*$E$5,1))</f>
        <v/>
      </c>
      <c r="L15" s="48" t="str">
        <f aca="false">IF(F15="","",ROUND(F15/5*$F$5,1))</f>
        <v/>
      </c>
      <c r="M15" s="48" t="str">
        <f aca="false">IF(G15="","",ROUND(G15/5*$G$5,1))</f>
        <v/>
      </c>
      <c r="N15" s="48" t="str">
        <f aca="false">IF(H15="","",ROUND(H15/5*$H$5,1))</f>
        <v/>
      </c>
      <c r="O15" s="48" t="str">
        <f aca="false">IF(I15="","",ROUND(I15/5*$I$5,1))</f>
        <v/>
      </c>
      <c r="P15" s="49" t="str">
        <f aca="false">IF(COUNT(D15:I15)&lt;6,"",ROUND(SUM(J15:O15),1))</f>
        <v/>
      </c>
      <c r="Q15" s="50" t="str">
        <f aca="false">IF(P15="","",IF(P15&gt;=80,"S",IF(P15&gt;=65,"A",IF(P15&gt;=50,"B","C"))))</f>
        <v/>
      </c>
      <c r="R15" s="45" t="str">
        <f aca="false">IF(P15="","",RANK(P15,$P$7:$P$36))</f>
        <v/>
      </c>
      <c r="S15" s="47"/>
      <c r="T15" s="47"/>
      <c r="U15" s="47"/>
      <c r="V15" s="47"/>
      <c r="W15" s="3" t="str">
        <f aca="false">IF(COUNT(D15:I15)=0,"",IF(IF(AND(S15&lt;&gt;"",E15&gt;3),1,0)+IF(AND(T15&lt;&gt;"",OR(E15&gt;2 ,F15&gt;2)),1,0)+IF(AND(U15&lt;&gt;"",D15&gt;2),1,0)+IF(AND(V15&lt;&gt;"",I15&gt;2),1,0)=0,"OK","上限超過: "&amp;IF(AND(S15&lt;&gt;"",E15&gt;3),"F1 ","")&amp;IF(AND(T15&lt;&gt;"",OR(E15&gt;2 ,F15&gt;2)),"F2 ","")&amp;IF(AND(U15&lt;&gt;"",D15&gt;2),"F3 ","")&amp;IF(AND(V15&lt;&gt;"",I15&gt;2),"F4 ","")))</f>
        <v/>
      </c>
      <c r="X15" s="46"/>
      <c r="Y15" s="47"/>
    </row>
    <row r="16" customFormat="false" ht="15" hidden="false" customHeight="false" outlineLevel="0" collapsed="false">
      <c r="A16" s="45" t="n">
        <v>10</v>
      </c>
      <c r="B16" s="46"/>
      <c r="C16" s="46"/>
      <c r="D16" s="47"/>
      <c r="E16" s="47"/>
      <c r="F16" s="47"/>
      <c r="G16" s="47"/>
      <c r="H16" s="47"/>
      <c r="I16" s="47"/>
      <c r="J16" s="48" t="str">
        <f aca="false">IF(D16="","",ROUND(D16/5*$D$5,1))</f>
        <v/>
      </c>
      <c r="K16" s="48" t="str">
        <f aca="false">IF(E16="","",ROUND(E16/5*$E$5,1))</f>
        <v/>
      </c>
      <c r="L16" s="48" t="str">
        <f aca="false">IF(F16="","",ROUND(F16/5*$F$5,1))</f>
        <v/>
      </c>
      <c r="M16" s="48" t="str">
        <f aca="false">IF(G16="","",ROUND(G16/5*$G$5,1))</f>
        <v/>
      </c>
      <c r="N16" s="48" t="str">
        <f aca="false">IF(H16="","",ROUND(H16/5*$H$5,1))</f>
        <v/>
      </c>
      <c r="O16" s="48" t="str">
        <f aca="false">IF(I16="","",ROUND(I16/5*$I$5,1))</f>
        <v/>
      </c>
      <c r="P16" s="49" t="str">
        <f aca="false">IF(COUNT(D16:I16)&lt;6,"",ROUND(SUM(J16:O16),1))</f>
        <v/>
      </c>
      <c r="Q16" s="50" t="str">
        <f aca="false">IF(P16="","",IF(P16&gt;=80,"S",IF(P16&gt;=65,"A",IF(P16&gt;=50,"B","C"))))</f>
        <v/>
      </c>
      <c r="R16" s="45" t="str">
        <f aca="false">IF(P16="","",RANK(P16,$P$7:$P$36))</f>
        <v/>
      </c>
      <c r="S16" s="47"/>
      <c r="T16" s="47"/>
      <c r="U16" s="47"/>
      <c r="V16" s="47"/>
      <c r="W16" s="3" t="str">
        <f aca="false">IF(COUNT(D16:I16)=0,"",IF(IF(AND(S16&lt;&gt;"",E16&gt;3),1,0)+IF(AND(T16&lt;&gt;"",OR(E16&gt;2 ,F16&gt;2)),1,0)+IF(AND(U16&lt;&gt;"",D16&gt;2),1,0)+IF(AND(V16&lt;&gt;"",I16&gt;2),1,0)=0,"OK","上限超過: "&amp;IF(AND(S16&lt;&gt;"",E16&gt;3),"F1 ","")&amp;IF(AND(T16&lt;&gt;"",OR(E16&gt;2 ,F16&gt;2)),"F2 ","")&amp;IF(AND(U16&lt;&gt;"",D16&gt;2),"F3 ","")&amp;IF(AND(V16&lt;&gt;"",I16&gt;2),"F4 ","")))</f>
        <v/>
      </c>
      <c r="X16" s="46"/>
      <c r="Y16" s="47"/>
    </row>
    <row r="17" customFormat="false" ht="15" hidden="false" customHeight="false" outlineLevel="0" collapsed="false">
      <c r="A17" s="45" t="n">
        <v>11</v>
      </c>
      <c r="B17" s="46"/>
      <c r="C17" s="46"/>
      <c r="D17" s="47"/>
      <c r="E17" s="47"/>
      <c r="F17" s="47"/>
      <c r="G17" s="47"/>
      <c r="H17" s="47"/>
      <c r="I17" s="47"/>
      <c r="J17" s="48" t="str">
        <f aca="false">IF(D17="","",ROUND(D17/5*$D$5,1))</f>
        <v/>
      </c>
      <c r="K17" s="48" t="str">
        <f aca="false">IF(E17="","",ROUND(E17/5*$E$5,1))</f>
        <v/>
      </c>
      <c r="L17" s="48" t="str">
        <f aca="false">IF(F17="","",ROUND(F17/5*$F$5,1))</f>
        <v/>
      </c>
      <c r="M17" s="48" t="str">
        <f aca="false">IF(G17="","",ROUND(G17/5*$G$5,1))</f>
        <v/>
      </c>
      <c r="N17" s="48" t="str">
        <f aca="false">IF(H17="","",ROUND(H17/5*$H$5,1))</f>
        <v/>
      </c>
      <c r="O17" s="48" t="str">
        <f aca="false">IF(I17="","",ROUND(I17/5*$I$5,1))</f>
        <v/>
      </c>
      <c r="P17" s="49" t="str">
        <f aca="false">IF(COUNT(D17:I17)&lt;6,"",ROUND(SUM(J17:O17),1))</f>
        <v/>
      </c>
      <c r="Q17" s="50" t="str">
        <f aca="false">IF(P17="","",IF(P17&gt;=80,"S",IF(P17&gt;=65,"A",IF(P17&gt;=50,"B","C"))))</f>
        <v/>
      </c>
      <c r="R17" s="45" t="str">
        <f aca="false">IF(P17="","",RANK(P17,$P$7:$P$36))</f>
        <v/>
      </c>
      <c r="S17" s="47"/>
      <c r="T17" s="47"/>
      <c r="U17" s="47"/>
      <c r="V17" s="47"/>
      <c r="W17" s="3" t="str">
        <f aca="false">IF(COUNT(D17:I17)=0,"",IF(IF(AND(S17&lt;&gt;"",E17&gt;3),1,0)+IF(AND(T17&lt;&gt;"",OR(E17&gt;2 ,F17&gt;2)),1,0)+IF(AND(U17&lt;&gt;"",D17&gt;2),1,0)+IF(AND(V17&lt;&gt;"",I17&gt;2),1,0)=0,"OK","上限超過: "&amp;IF(AND(S17&lt;&gt;"",E17&gt;3),"F1 ","")&amp;IF(AND(T17&lt;&gt;"",OR(E17&gt;2 ,F17&gt;2)),"F2 ","")&amp;IF(AND(U17&lt;&gt;"",D17&gt;2),"F3 ","")&amp;IF(AND(V17&lt;&gt;"",I17&gt;2),"F4 ","")))</f>
        <v/>
      </c>
      <c r="X17" s="46"/>
      <c r="Y17" s="47"/>
    </row>
    <row r="18" customFormat="false" ht="15" hidden="false" customHeight="false" outlineLevel="0" collapsed="false">
      <c r="A18" s="45" t="n">
        <v>12</v>
      </c>
      <c r="B18" s="46"/>
      <c r="C18" s="46"/>
      <c r="D18" s="47"/>
      <c r="E18" s="47"/>
      <c r="F18" s="47"/>
      <c r="G18" s="47"/>
      <c r="H18" s="47"/>
      <c r="I18" s="47"/>
      <c r="J18" s="48" t="str">
        <f aca="false">IF(D18="","",ROUND(D18/5*$D$5,1))</f>
        <v/>
      </c>
      <c r="K18" s="48" t="str">
        <f aca="false">IF(E18="","",ROUND(E18/5*$E$5,1))</f>
        <v/>
      </c>
      <c r="L18" s="48" t="str">
        <f aca="false">IF(F18="","",ROUND(F18/5*$F$5,1))</f>
        <v/>
      </c>
      <c r="M18" s="48" t="str">
        <f aca="false">IF(G18="","",ROUND(G18/5*$G$5,1))</f>
        <v/>
      </c>
      <c r="N18" s="48" t="str">
        <f aca="false">IF(H18="","",ROUND(H18/5*$H$5,1))</f>
        <v/>
      </c>
      <c r="O18" s="48" t="str">
        <f aca="false">IF(I18="","",ROUND(I18/5*$I$5,1))</f>
        <v/>
      </c>
      <c r="P18" s="49" t="str">
        <f aca="false">IF(COUNT(D18:I18)&lt;6,"",ROUND(SUM(J18:O18),1))</f>
        <v/>
      </c>
      <c r="Q18" s="50" t="str">
        <f aca="false">IF(P18="","",IF(P18&gt;=80,"S",IF(P18&gt;=65,"A",IF(P18&gt;=50,"B","C"))))</f>
        <v/>
      </c>
      <c r="R18" s="45" t="str">
        <f aca="false">IF(P18="","",RANK(P18,$P$7:$P$36))</f>
        <v/>
      </c>
      <c r="S18" s="47"/>
      <c r="T18" s="47"/>
      <c r="U18" s="47"/>
      <c r="V18" s="47"/>
      <c r="W18" s="3" t="str">
        <f aca="false">IF(COUNT(D18:I18)=0,"",IF(IF(AND(S18&lt;&gt;"",E18&gt;3),1,0)+IF(AND(T18&lt;&gt;"",OR(E18&gt;2 ,F18&gt;2)),1,0)+IF(AND(U18&lt;&gt;"",D18&gt;2),1,0)+IF(AND(V18&lt;&gt;"",I18&gt;2),1,0)=0,"OK","上限超過: "&amp;IF(AND(S18&lt;&gt;"",E18&gt;3),"F1 ","")&amp;IF(AND(T18&lt;&gt;"",OR(E18&gt;2 ,F18&gt;2)),"F2 ","")&amp;IF(AND(U18&lt;&gt;"",D18&gt;2),"F3 ","")&amp;IF(AND(V18&lt;&gt;"",I18&gt;2),"F4 ","")))</f>
        <v/>
      </c>
      <c r="X18" s="46"/>
      <c r="Y18" s="47"/>
    </row>
    <row r="19" customFormat="false" ht="15" hidden="false" customHeight="false" outlineLevel="0" collapsed="false">
      <c r="A19" s="45" t="n">
        <v>13</v>
      </c>
      <c r="B19" s="46"/>
      <c r="C19" s="46"/>
      <c r="D19" s="47"/>
      <c r="E19" s="47"/>
      <c r="F19" s="47"/>
      <c r="G19" s="47"/>
      <c r="H19" s="47"/>
      <c r="I19" s="47"/>
      <c r="J19" s="48" t="str">
        <f aca="false">IF(D19="","",ROUND(D19/5*$D$5,1))</f>
        <v/>
      </c>
      <c r="K19" s="48" t="str">
        <f aca="false">IF(E19="","",ROUND(E19/5*$E$5,1))</f>
        <v/>
      </c>
      <c r="L19" s="48" t="str">
        <f aca="false">IF(F19="","",ROUND(F19/5*$F$5,1))</f>
        <v/>
      </c>
      <c r="M19" s="48" t="str">
        <f aca="false">IF(G19="","",ROUND(G19/5*$G$5,1))</f>
        <v/>
      </c>
      <c r="N19" s="48" t="str">
        <f aca="false">IF(H19="","",ROUND(H19/5*$H$5,1))</f>
        <v/>
      </c>
      <c r="O19" s="48" t="str">
        <f aca="false">IF(I19="","",ROUND(I19/5*$I$5,1))</f>
        <v/>
      </c>
      <c r="P19" s="49" t="str">
        <f aca="false">IF(COUNT(D19:I19)&lt;6,"",ROUND(SUM(J19:O19),1))</f>
        <v/>
      </c>
      <c r="Q19" s="50" t="str">
        <f aca="false">IF(P19="","",IF(P19&gt;=80,"S",IF(P19&gt;=65,"A",IF(P19&gt;=50,"B","C"))))</f>
        <v/>
      </c>
      <c r="R19" s="45" t="str">
        <f aca="false">IF(P19="","",RANK(P19,$P$7:$P$36))</f>
        <v/>
      </c>
      <c r="S19" s="47"/>
      <c r="T19" s="47"/>
      <c r="U19" s="47"/>
      <c r="V19" s="47"/>
      <c r="W19" s="3" t="str">
        <f aca="false">IF(COUNT(D19:I19)=0,"",IF(IF(AND(S19&lt;&gt;"",E19&gt;3),1,0)+IF(AND(T19&lt;&gt;"",OR(E19&gt;2 ,F19&gt;2)),1,0)+IF(AND(U19&lt;&gt;"",D19&gt;2),1,0)+IF(AND(V19&lt;&gt;"",I19&gt;2),1,0)=0,"OK","上限超過: "&amp;IF(AND(S19&lt;&gt;"",E19&gt;3),"F1 ","")&amp;IF(AND(T19&lt;&gt;"",OR(E19&gt;2 ,F19&gt;2)),"F2 ","")&amp;IF(AND(U19&lt;&gt;"",D19&gt;2),"F3 ","")&amp;IF(AND(V19&lt;&gt;"",I19&gt;2),"F4 ","")))</f>
        <v/>
      </c>
      <c r="X19" s="46"/>
      <c r="Y19" s="47"/>
    </row>
    <row r="20" customFormat="false" ht="15" hidden="false" customHeight="false" outlineLevel="0" collapsed="false">
      <c r="A20" s="45" t="n">
        <v>14</v>
      </c>
      <c r="B20" s="46"/>
      <c r="C20" s="46"/>
      <c r="D20" s="47"/>
      <c r="E20" s="47"/>
      <c r="F20" s="47"/>
      <c r="G20" s="47"/>
      <c r="H20" s="47"/>
      <c r="I20" s="47"/>
      <c r="J20" s="48" t="str">
        <f aca="false">IF(D20="","",ROUND(D20/5*$D$5,1))</f>
        <v/>
      </c>
      <c r="K20" s="48" t="str">
        <f aca="false">IF(E20="","",ROUND(E20/5*$E$5,1))</f>
        <v/>
      </c>
      <c r="L20" s="48" t="str">
        <f aca="false">IF(F20="","",ROUND(F20/5*$F$5,1))</f>
        <v/>
      </c>
      <c r="M20" s="48" t="str">
        <f aca="false">IF(G20="","",ROUND(G20/5*$G$5,1))</f>
        <v/>
      </c>
      <c r="N20" s="48" t="str">
        <f aca="false">IF(H20="","",ROUND(H20/5*$H$5,1))</f>
        <v/>
      </c>
      <c r="O20" s="48" t="str">
        <f aca="false">IF(I20="","",ROUND(I20/5*$I$5,1))</f>
        <v/>
      </c>
      <c r="P20" s="49" t="str">
        <f aca="false">IF(COUNT(D20:I20)&lt;6,"",ROUND(SUM(J20:O20),1))</f>
        <v/>
      </c>
      <c r="Q20" s="50" t="str">
        <f aca="false">IF(P20="","",IF(P20&gt;=80,"S",IF(P20&gt;=65,"A",IF(P20&gt;=50,"B","C"))))</f>
        <v/>
      </c>
      <c r="R20" s="45" t="str">
        <f aca="false">IF(P20="","",RANK(P20,$P$7:$P$36))</f>
        <v/>
      </c>
      <c r="S20" s="47"/>
      <c r="T20" s="47"/>
      <c r="U20" s="47"/>
      <c r="V20" s="47"/>
      <c r="W20" s="3" t="str">
        <f aca="false">IF(COUNT(D20:I20)=0,"",IF(IF(AND(S20&lt;&gt;"",E20&gt;3),1,0)+IF(AND(T20&lt;&gt;"",OR(E20&gt;2 ,F20&gt;2)),1,0)+IF(AND(U20&lt;&gt;"",D20&gt;2),1,0)+IF(AND(V20&lt;&gt;"",I20&gt;2),1,0)=0,"OK","上限超過: "&amp;IF(AND(S20&lt;&gt;"",E20&gt;3),"F1 ","")&amp;IF(AND(T20&lt;&gt;"",OR(E20&gt;2 ,F20&gt;2)),"F2 ","")&amp;IF(AND(U20&lt;&gt;"",D20&gt;2),"F3 ","")&amp;IF(AND(V20&lt;&gt;"",I20&gt;2),"F4 ","")))</f>
        <v/>
      </c>
      <c r="X20" s="46"/>
      <c r="Y20" s="47"/>
    </row>
    <row r="21" customFormat="false" ht="15" hidden="false" customHeight="false" outlineLevel="0" collapsed="false">
      <c r="A21" s="45" t="n">
        <v>15</v>
      </c>
      <c r="B21" s="46"/>
      <c r="C21" s="46"/>
      <c r="D21" s="47"/>
      <c r="E21" s="47"/>
      <c r="F21" s="47"/>
      <c r="G21" s="47"/>
      <c r="H21" s="47"/>
      <c r="I21" s="47"/>
      <c r="J21" s="48" t="str">
        <f aca="false">IF(D21="","",ROUND(D21/5*$D$5,1))</f>
        <v/>
      </c>
      <c r="K21" s="48" t="str">
        <f aca="false">IF(E21="","",ROUND(E21/5*$E$5,1))</f>
        <v/>
      </c>
      <c r="L21" s="48" t="str">
        <f aca="false">IF(F21="","",ROUND(F21/5*$F$5,1))</f>
        <v/>
      </c>
      <c r="M21" s="48" t="str">
        <f aca="false">IF(G21="","",ROUND(G21/5*$G$5,1))</f>
        <v/>
      </c>
      <c r="N21" s="48" t="str">
        <f aca="false">IF(H21="","",ROUND(H21/5*$H$5,1))</f>
        <v/>
      </c>
      <c r="O21" s="48" t="str">
        <f aca="false">IF(I21="","",ROUND(I21/5*$I$5,1))</f>
        <v/>
      </c>
      <c r="P21" s="49" t="str">
        <f aca="false">IF(COUNT(D21:I21)&lt;6,"",ROUND(SUM(J21:O21),1))</f>
        <v/>
      </c>
      <c r="Q21" s="50" t="str">
        <f aca="false">IF(P21="","",IF(P21&gt;=80,"S",IF(P21&gt;=65,"A",IF(P21&gt;=50,"B","C"))))</f>
        <v/>
      </c>
      <c r="R21" s="45" t="str">
        <f aca="false">IF(P21="","",RANK(P21,$P$7:$P$36))</f>
        <v/>
      </c>
      <c r="S21" s="47"/>
      <c r="T21" s="47"/>
      <c r="U21" s="47"/>
      <c r="V21" s="47"/>
      <c r="W21" s="3" t="str">
        <f aca="false">IF(COUNT(D21:I21)=0,"",IF(IF(AND(S21&lt;&gt;"",E21&gt;3),1,0)+IF(AND(T21&lt;&gt;"",OR(E21&gt;2 ,F21&gt;2)),1,0)+IF(AND(U21&lt;&gt;"",D21&gt;2),1,0)+IF(AND(V21&lt;&gt;"",I21&gt;2),1,0)=0,"OK","上限超過: "&amp;IF(AND(S21&lt;&gt;"",E21&gt;3),"F1 ","")&amp;IF(AND(T21&lt;&gt;"",OR(E21&gt;2 ,F21&gt;2)),"F2 ","")&amp;IF(AND(U21&lt;&gt;"",D21&gt;2),"F3 ","")&amp;IF(AND(V21&lt;&gt;"",I21&gt;2),"F4 ","")))</f>
        <v/>
      </c>
      <c r="X21" s="46"/>
      <c r="Y21" s="47"/>
    </row>
    <row r="22" customFormat="false" ht="15" hidden="false" customHeight="false" outlineLevel="0" collapsed="false">
      <c r="A22" s="45" t="n">
        <v>16</v>
      </c>
      <c r="B22" s="46"/>
      <c r="C22" s="46"/>
      <c r="D22" s="47"/>
      <c r="E22" s="47"/>
      <c r="F22" s="47"/>
      <c r="G22" s="47"/>
      <c r="H22" s="47"/>
      <c r="I22" s="47"/>
      <c r="J22" s="48" t="str">
        <f aca="false">IF(D22="","",ROUND(D22/5*$D$5,1))</f>
        <v/>
      </c>
      <c r="K22" s="48" t="str">
        <f aca="false">IF(E22="","",ROUND(E22/5*$E$5,1))</f>
        <v/>
      </c>
      <c r="L22" s="48" t="str">
        <f aca="false">IF(F22="","",ROUND(F22/5*$F$5,1))</f>
        <v/>
      </c>
      <c r="M22" s="48" t="str">
        <f aca="false">IF(G22="","",ROUND(G22/5*$G$5,1))</f>
        <v/>
      </c>
      <c r="N22" s="48" t="str">
        <f aca="false">IF(H22="","",ROUND(H22/5*$H$5,1))</f>
        <v/>
      </c>
      <c r="O22" s="48" t="str">
        <f aca="false">IF(I22="","",ROUND(I22/5*$I$5,1))</f>
        <v/>
      </c>
      <c r="P22" s="49" t="str">
        <f aca="false">IF(COUNT(D22:I22)&lt;6,"",ROUND(SUM(J22:O22),1))</f>
        <v/>
      </c>
      <c r="Q22" s="50" t="str">
        <f aca="false">IF(P22="","",IF(P22&gt;=80,"S",IF(P22&gt;=65,"A",IF(P22&gt;=50,"B","C"))))</f>
        <v/>
      </c>
      <c r="R22" s="45" t="str">
        <f aca="false">IF(P22="","",RANK(P22,$P$7:$P$36))</f>
        <v/>
      </c>
      <c r="S22" s="47"/>
      <c r="T22" s="47"/>
      <c r="U22" s="47"/>
      <c r="V22" s="47"/>
      <c r="W22" s="3" t="str">
        <f aca="false">IF(COUNT(D22:I22)=0,"",IF(IF(AND(S22&lt;&gt;"",E22&gt;3),1,0)+IF(AND(T22&lt;&gt;"",OR(E22&gt;2 ,F22&gt;2)),1,0)+IF(AND(U22&lt;&gt;"",D22&gt;2),1,0)+IF(AND(V22&lt;&gt;"",I22&gt;2),1,0)=0,"OK","上限超過: "&amp;IF(AND(S22&lt;&gt;"",E22&gt;3),"F1 ","")&amp;IF(AND(T22&lt;&gt;"",OR(E22&gt;2 ,F22&gt;2)),"F2 ","")&amp;IF(AND(U22&lt;&gt;"",D22&gt;2),"F3 ","")&amp;IF(AND(V22&lt;&gt;"",I22&gt;2),"F4 ","")))</f>
        <v/>
      </c>
      <c r="X22" s="46"/>
      <c r="Y22" s="47"/>
    </row>
    <row r="23" customFormat="false" ht="15" hidden="false" customHeight="false" outlineLevel="0" collapsed="false">
      <c r="A23" s="45" t="n">
        <v>17</v>
      </c>
      <c r="B23" s="46"/>
      <c r="C23" s="46"/>
      <c r="D23" s="47"/>
      <c r="E23" s="47"/>
      <c r="F23" s="47"/>
      <c r="G23" s="47"/>
      <c r="H23" s="47"/>
      <c r="I23" s="47"/>
      <c r="J23" s="48" t="str">
        <f aca="false">IF(D23="","",ROUND(D23/5*$D$5,1))</f>
        <v/>
      </c>
      <c r="K23" s="48" t="str">
        <f aca="false">IF(E23="","",ROUND(E23/5*$E$5,1))</f>
        <v/>
      </c>
      <c r="L23" s="48" t="str">
        <f aca="false">IF(F23="","",ROUND(F23/5*$F$5,1))</f>
        <v/>
      </c>
      <c r="M23" s="48" t="str">
        <f aca="false">IF(G23="","",ROUND(G23/5*$G$5,1))</f>
        <v/>
      </c>
      <c r="N23" s="48" t="str">
        <f aca="false">IF(H23="","",ROUND(H23/5*$H$5,1))</f>
        <v/>
      </c>
      <c r="O23" s="48" t="str">
        <f aca="false">IF(I23="","",ROUND(I23/5*$I$5,1))</f>
        <v/>
      </c>
      <c r="P23" s="49" t="str">
        <f aca="false">IF(COUNT(D23:I23)&lt;6,"",ROUND(SUM(J23:O23),1))</f>
        <v/>
      </c>
      <c r="Q23" s="50" t="str">
        <f aca="false">IF(P23="","",IF(P23&gt;=80,"S",IF(P23&gt;=65,"A",IF(P23&gt;=50,"B","C"))))</f>
        <v/>
      </c>
      <c r="R23" s="45" t="str">
        <f aca="false">IF(P23="","",RANK(P23,$P$7:$P$36))</f>
        <v/>
      </c>
      <c r="S23" s="47"/>
      <c r="T23" s="47"/>
      <c r="U23" s="47"/>
      <c r="V23" s="47"/>
      <c r="W23" s="3" t="str">
        <f aca="false">IF(COUNT(D23:I23)=0,"",IF(IF(AND(S23&lt;&gt;"",E23&gt;3),1,0)+IF(AND(T23&lt;&gt;"",OR(E23&gt;2 ,F23&gt;2)),1,0)+IF(AND(U23&lt;&gt;"",D23&gt;2),1,0)+IF(AND(V23&lt;&gt;"",I23&gt;2),1,0)=0,"OK","上限超過: "&amp;IF(AND(S23&lt;&gt;"",E23&gt;3),"F1 ","")&amp;IF(AND(T23&lt;&gt;"",OR(E23&gt;2 ,F23&gt;2)),"F2 ","")&amp;IF(AND(U23&lt;&gt;"",D23&gt;2),"F3 ","")&amp;IF(AND(V23&lt;&gt;"",I23&gt;2),"F4 ","")))</f>
        <v/>
      </c>
      <c r="X23" s="46"/>
      <c r="Y23" s="47"/>
    </row>
    <row r="24" customFormat="false" ht="15" hidden="false" customHeight="false" outlineLevel="0" collapsed="false">
      <c r="A24" s="45" t="n">
        <v>18</v>
      </c>
      <c r="B24" s="46"/>
      <c r="C24" s="46"/>
      <c r="D24" s="47"/>
      <c r="E24" s="47"/>
      <c r="F24" s="47"/>
      <c r="G24" s="47"/>
      <c r="H24" s="47"/>
      <c r="I24" s="47"/>
      <c r="J24" s="48" t="str">
        <f aca="false">IF(D24="","",ROUND(D24/5*$D$5,1))</f>
        <v/>
      </c>
      <c r="K24" s="48" t="str">
        <f aca="false">IF(E24="","",ROUND(E24/5*$E$5,1))</f>
        <v/>
      </c>
      <c r="L24" s="48" t="str">
        <f aca="false">IF(F24="","",ROUND(F24/5*$F$5,1))</f>
        <v/>
      </c>
      <c r="M24" s="48" t="str">
        <f aca="false">IF(G24="","",ROUND(G24/5*$G$5,1))</f>
        <v/>
      </c>
      <c r="N24" s="48" t="str">
        <f aca="false">IF(H24="","",ROUND(H24/5*$H$5,1))</f>
        <v/>
      </c>
      <c r="O24" s="48" t="str">
        <f aca="false">IF(I24="","",ROUND(I24/5*$I$5,1))</f>
        <v/>
      </c>
      <c r="P24" s="49" t="str">
        <f aca="false">IF(COUNT(D24:I24)&lt;6,"",ROUND(SUM(J24:O24),1))</f>
        <v/>
      </c>
      <c r="Q24" s="50" t="str">
        <f aca="false">IF(P24="","",IF(P24&gt;=80,"S",IF(P24&gt;=65,"A",IF(P24&gt;=50,"B","C"))))</f>
        <v/>
      </c>
      <c r="R24" s="45" t="str">
        <f aca="false">IF(P24="","",RANK(P24,$P$7:$P$36))</f>
        <v/>
      </c>
      <c r="S24" s="47"/>
      <c r="T24" s="47"/>
      <c r="U24" s="47"/>
      <c r="V24" s="47"/>
      <c r="W24" s="3" t="str">
        <f aca="false">IF(COUNT(D24:I24)=0,"",IF(IF(AND(S24&lt;&gt;"",E24&gt;3),1,0)+IF(AND(T24&lt;&gt;"",OR(E24&gt;2 ,F24&gt;2)),1,0)+IF(AND(U24&lt;&gt;"",D24&gt;2),1,0)+IF(AND(V24&lt;&gt;"",I24&gt;2),1,0)=0,"OK","上限超過: "&amp;IF(AND(S24&lt;&gt;"",E24&gt;3),"F1 ","")&amp;IF(AND(T24&lt;&gt;"",OR(E24&gt;2 ,F24&gt;2)),"F2 ","")&amp;IF(AND(U24&lt;&gt;"",D24&gt;2),"F3 ","")&amp;IF(AND(V24&lt;&gt;"",I24&gt;2),"F4 ","")))</f>
        <v/>
      </c>
      <c r="X24" s="46"/>
      <c r="Y24" s="47"/>
    </row>
    <row r="25" customFormat="false" ht="15" hidden="false" customHeight="false" outlineLevel="0" collapsed="false">
      <c r="A25" s="45" t="n">
        <v>19</v>
      </c>
      <c r="B25" s="46"/>
      <c r="C25" s="46"/>
      <c r="D25" s="47"/>
      <c r="E25" s="47"/>
      <c r="F25" s="47"/>
      <c r="G25" s="47"/>
      <c r="H25" s="47"/>
      <c r="I25" s="47"/>
      <c r="J25" s="48" t="str">
        <f aca="false">IF(D25="","",ROUND(D25/5*$D$5,1))</f>
        <v/>
      </c>
      <c r="K25" s="48" t="str">
        <f aca="false">IF(E25="","",ROUND(E25/5*$E$5,1))</f>
        <v/>
      </c>
      <c r="L25" s="48" t="str">
        <f aca="false">IF(F25="","",ROUND(F25/5*$F$5,1))</f>
        <v/>
      </c>
      <c r="M25" s="48" t="str">
        <f aca="false">IF(G25="","",ROUND(G25/5*$G$5,1))</f>
        <v/>
      </c>
      <c r="N25" s="48" t="str">
        <f aca="false">IF(H25="","",ROUND(H25/5*$H$5,1))</f>
        <v/>
      </c>
      <c r="O25" s="48" t="str">
        <f aca="false">IF(I25="","",ROUND(I25/5*$I$5,1))</f>
        <v/>
      </c>
      <c r="P25" s="49" t="str">
        <f aca="false">IF(COUNT(D25:I25)&lt;6,"",ROUND(SUM(J25:O25),1))</f>
        <v/>
      </c>
      <c r="Q25" s="50" t="str">
        <f aca="false">IF(P25="","",IF(P25&gt;=80,"S",IF(P25&gt;=65,"A",IF(P25&gt;=50,"B","C"))))</f>
        <v/>
      </c>
      <c r="R25" s="45" t="str">
        <f aca="false">IF(P25="","",RANK(P25,$P$7:$P$36))</f>
        <v/>
      </c>
      <c r="S25" s="47"/>
      <c r="T25" s="47"/>
      <c r="U25" s="47"/>
      <c r="V25" s="47"/>
      <c r="W25" s="3" t="str">
        <f aca="false">IF(COUNT(D25:I25)=0,"",IF(IF(AND(S25&lt;&gt;"",E25&gt;3),1,0)+IF(AND(T25&lt;&gt;"",OR(E25&gt;2 ,F25&gt;2)),1,0)+IF(AND(U25&lt;&gt;"",D25&gt;2),1,0)+IF(AND(V25&lt;&gt;"",I25&gt;2),1,0)=0,"OK","上限超過: "&amp;IF(AND(S25&lt;&gt;"",E25&gt;3),"F1 ","")&amp;IF(AND(T25&lt;&gt;"",OR(E25&gt;2 ,F25&gt;2)),"F2 ","")&amp;IF(AND(U25&lt;&gt;"",D25&gt;2),"F3 ","")&amp;IF(AND(V25&lt;&gt;"",I25&gt;2),"F4 ","")))</f>
        <v/>
      </c>
      <c r="X25" s="46"/>
      <c r="Y25" s="47"/>
    </row>
    <row r="26" customFormat="false" ht="15" hidden="false" customHeight="false" outlineLevel="0" collapsed="false">
      <c r="A26" s="45" t="n">
        <v>20</v>
      </c>
      <c r="B26" s="46"/>
      <c r="C26" s="46"/>
      <c r="D26" s="47"/>
      <c r="E26" s="47"/>
      <c r="F26" s="47"/>
      <c r="G26" s="47"/>
      <c r="H26" s="47"/>
      <c r="I26" s="47"/>
      <c r="J26" s="48" t="str">
        <f aca="false">IF(D26="","",ROUND(D26/5*$D$5,1))</f>
        <v/>
      </c>
      <c r="K26" s="48" t="str">
        <f aca="false">IF(E26="","",ROUND(E26/5*$E$5,1))</f>
        <v/>
      </c>
      <c r="L26" s="48" t="str">
        <f aca="false">IF(F26="","",ROUND(F26/5*$F$5,1))</f>
        <v/>
      </c>
      <c r="M26" s="48" t="str">
        <f aca="false">IF(G26="","",ROUND(G26/5*$G$5,1))</f>
        <v/>
      </c>
      <c r="N26" s="48" t="str">
        <f aca="false">IF(H26="","",ROUND(H26/5*$H$5,1))</f>
        <v/>
      </c>
      <c r="O26" s="48" t="str">
        <f aca="false">IF(I26="","",ROUND(I26/5*$I$5,1))</f>
        <v/>
      </c>
      <c r="P26" s="49" t="str">
        <f aca="false">IF(COUNT(D26:I26)&lt;6,"",ROUND(SUM(J26:O26),1))</f>
        <v/>
      </c>
      <c r="Q26" s="50" t="str">
        <f aca="false">IF(P26="","",IF(P26&gt;=80,"S",IF(P26&gt;=65,"A",IF(P26&gt;=50,"B","C"))))</f>
        <v/>
      </c>
      <c r="R26" s="45" t="str">
        <f aca="false">IF(P26="","",RANK(P26,$P$7:$P$36))</f>
        <v/>
      </c>
      <c r="S26" s="47"/>
      <c r="T26" s="47"/>
      <c r="U26" s="47"/>
      <c r="V26" s="47"/>
      <c r="W26" s="3" t="str">
        <f aca="false">IF(COUNT(D26:I26)=0,"",IF(IF(AND(S26&lt;&gt;"",E26&gt;3),1,0)+IF(AND(T26&lt;&gt;"",OR(E26&gt;2 ,F26&gt;2)),1,0)+IF(AND(U26&lt;&gt;"",D26&gt;2),1,0)+IF(AND(V26&lt;&gt;"",I26&gt;2),1,0)=0,"OK","上限超過: "&amp;IF(AND(S26&lt;&gt;"",E26&gt;3),"F1 ","")&amp;IF(AND(T26&lt;&gt;"",OR(E26&gt;2 ,F26&gt;2)),"F2 ","")&amp;IF(AND(U26&lt;&gt;"",D26&gt;2),"F3 ","")&amp;IF(AND(V26&lt;&gt;"",I26&gt;2),"F4 ","")))</f>
        <v/>
      </c>
      <c r="X26" s="46"/>
      <c r="Y26" s="47"/>
    </row>
    <row r="27" customFormat="false" ht="15" hidden="false" customHeight="false" outlineLevel="0" collapsed="false">
      <c r="A27" s="45" t="n">
        <v>21</v>
      </c>
      <c r="B27" s="46"/>
      <c r="C27" s="46"/>
      <c r="D27" s="47"/>
      <c r="E27" s="47"/>
      <c r="F27" s="47"/>
      <c r="G27" s="47"/>
      <c r="H27" s="47"/>
      <c r="I27" s="47"/>
      <c r="J27" s="48" t="str">
        <f aca="false">IF(D27="","",ROUND(D27/5*$D$5,1))</f>
        <v/>
      </c>
      <c r="K27" s="48" t="str">
        <f aca="false">IF(E27="","",ROUND(E27/5*$E$5,1))</f>
        <v/>
      </c>
      <c r="L27" s="48" t="str">
        <f aca="false">IF(F27="","",ROUND(F27/5*$F$5,1))</f>
        <v/>
      </c>
      <c r="M27" s="48" t="str">
        <f aca="false">IF(G27="","",ROUND(G27/5*$G$5,1))</f>
        <v/>
      </c>
      <c r="N27" s="48" t="str">
        <f aca="false">IF(H27="","",ROUND(H27/5*$H$5,1))</f>
        <v/>
      </c>
      <c r="O27" s="48" t="str">
        <f aca="false">IF(I27="","",ROUND(I27/5*$I$5,1))</f>
        <v/>
      </c>
      <c r="P27" s="49" t="str">
        <f aca="false">IF(COUNT(D27:I27)&lt;6,"",ROUND(SUM(J27:O27),1))</f>
        <v/>
      </c>
      <c r="Q27" s="50" t="str">
        <f aca="false">IF(P27="","",IF(P27&gt;=80,"S",IF(P27&gt;=65,"A",IF(P27&gt;=50,"B","C"))))</f>
        <v/>
      </c>
      <c r="R27" s="45" t="str">
        <f aca="false">IF(P27="","",RANK(P27,$P$7:$P$36))</f>
        <v/>
      </c>
      <c r="S27" s="47"/>
      <c r="T27" s="47"/>
      <c r="U27" s="47"/>
      <c r="V27" s="47"/>
      <c r="W27" s="3" t="str">
        <f aca="false">IF(COUNT(D27:I27)=0,"",IF(IF(AND(S27&lt;&gt;"",E27&gt;3),1,0)+IF(AND(T27&lt;&gt;"",OR(E27&gt;2 ,F27&gt;2)),1,0)+IF(AND(U27&lt;&gt;"",D27&gt;2),1,0)+IF(AND(V27&lt;&gt;"",I27&gt;2),1,0)=0,"OK","上限超過: "&amp;IF(AND(S27&lt;&gt;"",E27&gt;3),"F1 ","")&amp;IF(AND(T27&lt;&gt;"",OR(E27&gt;2 ,F27&gt;2)),"F2 ","")&amp;IF(AND(U27&lt;&gt;"",D27&gt;2),"F3 ","")&amp;IF(AND(V27&lt;&gt;"",I27&gt;2),"F4 ","")))</f>
        <v/>
      </c>
      <c r="X27" s="46"/>
      <c r="Y27" s="47"/>
    </row>
    <row r="28" customFormat="false" ht="15" hidden="false" customHeight="false" outlineLevel="0" collapsed="false">
      <c r="A28" s="45" t="n">
        <v>22</v>
      </c>
      <c r="B28" s="46"/>
      <c r="C28" s="46"/>
      <c r="D28" s="47"/>
      <c r="E28" s="47"/>
      <c r="F28" s="47"/>
      <c r="G28" s="47"/>
      <c r="H28" s="47"/>
      <c r="I28" s="47"/>
      <c r="J28" s="48" t="str">
        <f aca="false">IF(D28="","",ROUND(D28/5*$D$5,1))</f>
        <v/>
      </c>
      <c r="K28" s="48" t="str">
        <f aca="false">IF(E28="","",ROUND(E28/5*$E$5,1))</f>
        <v/>
      </c>
      <c r="L28" s="48" t="str">
        <f aca="false">IF(F28="","",ROUND(F28/5*$F$5,1))</f>
        <v/>
      </c>
      <c r="M28" s="48" t="str">
        <f aca="false">IF(G28="","",ROUND(G28/5*$G$5,1))</f>
        <v/>
      </c>
      <c r="N28" s="48" t="str">
        <f aca="false">IF(H28="","",ROUND(H28/5*$H$5,1))</f>
        <v/>
      </c>
      <c r="O28" s="48" t="str">
        <f aca="false">IF(I28="","",ROUND(I28/5*$I$5,1))</f>
        <v/>
      </c>
      <c r="P28" s="49" t="str">
        <f aca="false">IF(COUNT(D28:I28)&lt;6,"",ROUND(SUM(J28:O28),1))</f>
        <v/>
      </c>
      <c r="Q28" s="50" t="str">
        <f aca="false">IF(P28="","",IF(P28&gt;=80,"S",IF(P28&gt;=65,"A",IF(P28&gt;=50,"B","C"))))</f>
        <v/>
      </c>
      <c r="R28" s="45" t="str">
        <f aca="false">IF(P28="","",RANK(P28,$P$7:$P$36))</f>
        <v/>
      </c>
      <c r="S28" s="47"/>
      <c r="T28" s="47"/>
      <c r="U28" s="47"/>
      <c r="V28" s="47"/>
      <c r="W28" s="3" t="str">
        <f aca="false">IF(COUNT(D28:I28)=0,"",IF(IF(AND(S28&lt;&gt;"",E28&gt;3),1,0)+IF(AND(T28&lt;&gt;"",OR(E28&gt;2 ,F28&gt;2)),1,0)+IF(AND(U28&lt;&gt;"",D28&gt;2),1,0)+IF(AND(V28&lt;&gt;"",I28&gt;2),1,0)=0,"OK","上限超過: "&amp;IF(AND(S28&lt;&gt;"",E28&gt;3),"F1 ","")&amp;IF(AND(T28&lt;&gt;"",OR(E28&gt;2 ,F28&gt;2)),"F2 ","")&amp;IF(AND(U28&lt;&gt;"",D28&gt;2),"F3 ","")&amp;IF(AND(V28&lt;&gt;"",I28&gt;2),"F4 ","")))</f>
        <v/>
      </c>
      <c r="X28" s="46"/>
      <c r="Y28" s="47"/>
    </row>
    <row r="29" customFormat="false" ht="15" hidden="false" customHeight="false" outlineLevel="0" collapsed="false">
      <c r="A29" s="45" t="n">
        <v>23</v>
      </c>
      <c r="B29" s="46"/>
      <c r="C29" s="46"/>
      <c r="D29" s="47"/>
      <c r="E29" s="47"/>
      <c r="F29" s="47"/>
      <c r="G29" s="47"/>
      <c r="H29" s="47"/>
      <c r="I29" s="47"/>
      <c r="J29" s="48" t="str">
        <f aca="false">IF(D29="","",ROUND(D29/5*$D$5,1))</f>
        <v/>
      </c>
      <c r="K29" s="48" t="str">
        <f aca="false">IF(E29="","",ROUND(E29/5*$E$5,1))</f>
        <v/>
      </c>
      <c r="L29" s="48" t="str">
        <f aca="false">IF(F29="","",ROUND(F29/5*$F$5,1))</f>
        <v/>
      </c>
      <c r="M29" s="48" t="str">
        <f aca="false">IF(G29="","",ROUND(G29/5*$G$5,1))</f>
        <v/>
      </c>
      <c r="N29" s="48" t="str">
        <f aca="false">IF(H29="","",ROUND(H29/5*$H$5,1))</f>
        <v/>
      </c>
      <c r="O29" s="48" t="str">
        <f aca="false">IF(I29="","",ROUND(I29/5*$I$5,1))</f>
        <v/>
      </c>
      <c r="P29" s="49" t="str">
        <f aca="false">IF(COUNT(D29:I29)&lt;6,"",ROUND(SUM(J29:O29),1))</f>
        <v/>
      </c>
      <c r="Q29" s="50" t="str">
        <f aca="false">IF(P29="","",IF(P29&gt;=80,"S",IF(P29&gt;=65,"A",IF(P29&gt;=50,"B","C"))))</f>
        <v/>
      </c>
      <c r="R29" s="45" t="str">
        <f aca="false">IF(P29="","",RANK(P29,$P$7:$P$36))</f>
        <v/>
      </c>
      <c r="S29" s="47"/>
      <c r="T29" s="47"/>
      <c r="U29" s="47"/>
      <c r="V29" s="47"/>
      <c r="W29" s="3" t="str">
        <f aca="false">IF(COUNT(D29:I29)=0,"",IF(IF(AND(S29&lt;&gt;"",E29&gt;3),1,0)+IF(AND(T29&lt;&gt;"",OR(E29&gt;2 ,F29&gt;2)),1,0)+IF(AND(U29&lt;&gt;"",D29&gt;2),1,0)+IF(AND(V29&lt;&gt;"",I29&gt;2),1,0)=0,"OK","上限超過: "&amp;IF(AND(S29&lt;&gt;"",E29&gt;3),"F1 ","")&amp;IF(AND(T29&lt;&gt;"",OR(E29&gt;2 ,F29&gt;2)),"F2 ","")&amp;IF(AND(U29&lt;&gt;"",D29&gt;2),"F3 ","")&amp;IF(AND(V29&lt;&gt;"",I29&gt;2),"F4 ","")))</f>
        <v/>
      </c>
      <c r="X29" s="46"/>
      <c r="Y29" s="47"/>
    </row>
    <row r="30" customFormat="false" ht="15" hidden="false" customHeight="false" outlineLevel="0" collapsed="false">
      <c r="A30" s="45" t="n">
        <v>24</v>
      </c>
      <c r="B30" s="46"/>
      <c r="C30" s="46"/>
      <c r="D30" s="47"/>
      <c r="E30" s="47"/>
      <c r="F30" s="47"/>
      <c r="G30" s="47"/>
      <c r="H30" s="47"/>
      <c r="I30" s="47"/>
      <c r="J30" s="48" t="str">
        <f aca="false">IF(D30="","",ROUND(D30/5*$D$5,1))</f>
        <v/>
      </c>
      <c r="K30" s="48" t="str">
        <f aca="false">IF(E30="","",ROUND(E30/5*$E$5,1))</f>
        <v/>
      </c>
      <c r="L30" s="48" t="str">
        <f aca="false">IF(F30="","",ROUND(F30/5*$F$5,1))</f>
        <v/>
      </c>
      <c r="M30" s="48" t="str">
        <f aca="false">IF(G30="","",ROUND(G30/5*$G$5,1))</f>
        <v/>
      </c>
      <c r="N30" s="48" t="str">
        <f aca="false">IF(H30="","",ROUND(H30/5*$H$5,1))</f>
        <v/>
      </c>
      <c r="O30" s="48" t="str">
        <f aca="false">IF(I30="","",ROUND(I30/5*$I$5,1))</f>
        <v/>
      </c>
      <c r="P30" s="49" t="str">
        <f aca="false">IF(COUNT(D30:I30)&lt;6,"",ROUND(SUM(J30:O30),1))</f>
        <v/>
      </c>
      <c r="Q30" s="50" t="str">
        <f aca="false">IF(P30="","",IF(P30&gt;=80,"S",IF(P30&gt;=65,"A",IF(P30&gt;=50,"B","C"))))</f>
        <v/>
      </c>
      <c r="R30" s="45" t="str">
        <f aca="false">IF(P30="","",RANK(P30,$P$7:$P$36))</f>
        <v/>
      </c>
      <c r="S30" s="47"/>
      <c r="T30" s="47"/>
      <c r="U30" s="47"/>
      <c r="V30" s="47"/>
      <c r="W30" s="3" t="str">
        <f aca="false">IF(COUNT(D30:I30)=0,"",IF(IF(AND(S30&lt;&gt;"",E30&gt;3),1,0)+IF(AND(T30&lt;&gt;"",OR(E30&gt;2 ,F30&gt;2)),1,0)+IF(AND(U30&lt;&gt;"",D30&gt;2),1,0)+IF(AND(V30&lt;&gt;"",I30&gt;2),1,0)=0,"OK","上限超過: "&amp;IF(AND(S30&lt;&gt;"",E30&gt;3),"F1 ","")&amp;IF(AND(T30&lt;&gt;"",OR(E30&gt;2 ,F30&gt;2)),"F2 ","")&amp;IF(AND(U30&lt;&gt;"",D30&gt;2),"F3 ","")&amp;IF(AND(V30&lt;&gt;"",I30&gt;2),"F4 ","")))</f>
        <v/>
      </c>
      <c r="X30" s="46"/>
      <c r="Y30" s="47"/>
    </row>
    <row r="31" customFormat="false" ht="15" hidden="false" customHeight="false" outlineLevel="0" collapsed="false">
      <c r="A31" s="45" t="n">
        <v>25</v>
      </c>
      <c r="B31" s="46"/>
      <c r="C31" s="46"/>
      <c r="D31" s="47"/>
      <c r="E31" s="47"/>
      <c r="F31" s="47"/>
      <c r="G31" s="47"/>
      <c r="H31" s="47"/>
      <c r="I31" s="47"/>
      <c r="J31" s="48" t="str">
        <f aca="false">IF(D31="","",ROUND(D31/5*$D$5,1))</f>
        <v/>
      </c>
      <c r="K31" s="48" t="str">
        <f aca="false">IF(E31="","",ROUND(E31/5*$E$5,1))</f>
        <v/>
      </c>
      <c r="L31" s="48" t="str">
        <f aca="false">IF(F31="","",ROUND(F31/5*$F$5,1))</f>
        <v/>
      </c>
      <c r="M31" s="48" t="str">
        <f aca="false">IF(G31="","",ROUND(G31/5*$G$5,1))</f>
        <v/>
      </c>
      <c r="N31" s="48" t="str">
        <f aca="false">IF(H31="","",ROUND(H31/5*$H$5,1))</f>
        <v/>
      </c>
      <c r="O31" s="48" t="str">
        <f aca="false">IF(I31="","",ROUND(I31/5*$I$5,1))</f>
        <v/>
      </c>
      <c r="P31" s="49" t="str">
        <f aca="false">IF(COUNT(D31:I31)&lt;6,"",ROUND(SUM(J31:O31),1))</f>
        <v/>
      </c>
      <c r="Q31" s="50" t="str">
        <f aca="false">IF(P31="","",IF(P31&gt;=80,"S",IF(P31&gt;=65,"A",IF(P31&gt;=50,"B","C"))))</f>
        <v/>
      </c>
      <c r="R31" s="45" t="str">
        <f aca="false">IF(P31="","",RANK(P31,$P$7:$P$36))</f>
        <v/>
      </c>
      <c r="S31" s="47"/>
      <c r="T31" s="47"/>
      <c r="U31" s="47"/>
      <c r="V31" s="47"/>
      <c r="W31" s="3" t="str">
        <f aca="false">IF(COUNT(D31:I31)=0,"",IF(IF(AND(S31&lt;&gt;"",E31&gt;3),1,0)+IF(AND(T31&lt;&gt;"",OR(E31&gt;2 ,F31&gt;2)),1,0)+IF(AND(U31&lt;&gt;"",D31&gt;2),1,0)+IF(AND(V31&lt;&gt;"",I31&gt;2),1,0)=0,"OK","上限超過: "&amp;IF(AND(S31&lt;&gt;"",E31&gt;3),"F1 ","")&amp;IF(AND(T31&lt;&gt;"",OR(E31&gt;2 ,F31&gt;2)),"F2 ","")&amp;IF(AND(U31&lt;&gt;"",D31&gt;2),"F3 ","")&amp;IF(AND(V31&lt;&gt;"",I31&gt;2),"F4 ","")))</f>
        <v/>
      </c>
      <c r="X31" s="46"/>
      <c r="Y31" s="47"/>
    </row>
    <row r="32" customFormat="false" ht="15" hidden="false" customHeight="false" outlineLevel="0" collapsed="false">
      <c r="A32" s="45" t="n">
        <v>26</v>
      </c>
      <c r="B32" s="46"/>
      <c r="C32" s="46"/>
      <c r="D32" s="47"/>
      <c r="E32" s="47"/>
      <c r="F32" s="47"/>
      <c r="G32" s="47"/>
      <c r="H32" s="47"/>
      <c r="I32" s="47"/>
      <c r="J32" s="48" t="str">
        <f aca="false">IF(D32="","",ROUND(D32/5*$D$5,1))</f>
        <v/>
      </c>
      <c r="K32" s="48" t="str">
        <f aca="false">IF(E32="","",ROUND(E32/5*$E$5,1))</f>
        <v/>
      </c>
      <c r="L32" s="48" t="str">
        <f aca="false">IF(F32="","",ROUND(F32/5*$F$5,1))</f>
        <v/>
      </c>
      <c r="M32" s="48" t="str">
        <f aca="false">IF(G32="","",ROUND(G32/5*$G$5,1))</f>
        <v/>
      </c>
      <c r="N32" s="48" t="str">
        <f aca="false">IF(H32="","",ROUND(H32/5*$H$5,1))</f>
        <v/>
      </c>
      <c r="O32" s="48" t="str">
        <f aca="false">IF(I32="","",ROUND(I32/5*$I$5,1))</f>
        <v/>
      </c>
      <c r="P32" s="49" t="str">
        <f aca="false">IF(COUNT(D32:I32)&lt;6,"",ROUND(SUM(J32:O32),1))</f>
        <v/>
      </c>
      <c r="Q32" s="50" t="str">
        <f aca="false">IF(P32="","",IF(P32&gt;=80,"S",IF(P32&gt;=65,"A",IF(P32&gt;=50,"B","C"))))</f>
        <v/>
      </c>
      <c r="R32" s="45" t="str">
        <f aca="false">IF(P32="","",RANK(P32,$P$7:$P$36))</f>
        <v/>
      </c>
      <c r="S32" s="47"/>
      <c r="T32" s="47"/>
      <c r="U32" s="47"/>
      <c r="V32" s="47"/>
      <c r="W32" s="3" t="str">
        <f aca="false">IF(COUNT(D32:I32)=0,"",IF(IF(AND(S32&lt;&gt;"",E32&gt;3),1,0)+IF(AND(T32&lt;&gt;"",OR(E32&gt;2 ,F32&gt;2)),1,0)+IF(AND(U32&lt;&gt;"",D32&gt;2),1,0)+IF(AND(V32&lt;&gt;"",I32&gt;2),1,0)=0,"OK","上限超過: "&amp;IF(AND(S32&lt;&gt;"",E32&gt;3),"F1 ","")&amp;IF(AND(T32&lt;&gt;"",OR(E32&gt;2 ,F32&gt;2)),"F2 ","")&amp;IF(AND(U32&lt;&gt;"",D32&gt;2),"F3 ","")&amp;IF(AND(V32&lt;&gt;"",I32&gt;2),"F4 ","")))</f>
        <v/>
      </c>
      <c r="X32" s="46"/>
      <c r="Y32" s="47"/>
    </row>
    <row r="33" customFormat="false" ht="15" hidden="false" customHeight="false" outlineLevel="0" collapsed="false">
      <c r="A33" s="45" t="n">
        <v>27</v>
      </c>
      <c r="B33" s="46"/>
      <c r="C33" s="46"/>
      <c r="D33" s="47"/>
      <c r="E33" s="47"/>
      <c r="F33" s="47"/>
      <c r="G33" s="47"/>
      <c r="H33" s="47"/>
      <c r="I33" s="47"/>
      <c r="J33" s="48" t="str">
        <f aca="false">IF(D33="","",ROUND(D33/5*$D$5,1))</f>
        <v/>
      </c>
      <c r="K33" s="48" t="str">
        <f aca="false">IF(E33="","",ROUND(E33/5*$E$5,1))</f>
        <v/>
      </c>
      <c r="L33" s="48" t="str">
        <f aca="false">IF(F33="","",ROUND(F33/5*$F$5,1))</f>
        <v/>
      </c>
      <c r="M33" s="48" t="str">
        <f aca="false">IF(G33="","",ROUND(G33/5*$G$5,1))</f>
        <v/>
      </c>
      <c r="N33" s="48" t="str">
        <f aca="false">IF(H33="","",ROUND(H33/5*$H$5,1))</f>
        <v/>
      </c>
      <c r="O33" s="48" t="str">
        <f aca="false">IF(I33="","",ROUND(I33/5*$I$5,1))</f>
        <v/>
      </c>
      <c r="P33" s="49" t="str">
        <f aca="false">IF(COUNT(D33:I33)&lt;6,"",ROUND(SUM(J33:O33),1))</f>
        <v/>
      </c>
      <c r="Q33" s="50" t="str">
        <f aca="false">IF(P33="","",IF(P33&gt;=80,"S",IF(P33&gt;=65,"A",IF(P33&gt;=50,"B","C"))))</f>
        <v/>
      </c>
      <c r="R33" s="45" t="str">
        <f aca="false">IF(P33="","",RANK(P33,$P$7:$P$36))</f>
        <v/>
      </c>
      <c r="S33" s="47"/>
      <c r="T33" s="47"/>
      <c r="U33" s="47"/>
      <c r="V33" s="47"/>
      <c r="W33" s="3" t="str">
        <f aca="false">IF(COUNT(D33:I33)=0,"",IF(IF(AND(S33&lt;&gt;"",E33&gt;3),1,0)+IF(AND(T33&lt;&gt;"",OR(E33&gt;2 ,F33&gt;2)),1,0)+IF(AND(U33&lt;&gt;"",D33&gt;2),1,0)+IF(AND(V33&lt;&gt;"",I33&gt;2),1,0)=0,"OK","上限超過: "&amp;IF(AND(S33&lt;&gt;"",E33&gt;3),"F1 ","")&amp;IF(AND(T33&lt;&gt;"",OR(E33&gt;2 ,F33&gt;2)),"F2 ","")&amp;IF(AND(U33&lt;&gt;"",D33&gt;2),"F3 ","")&amp;IF(AND(V33&lt;&gt;"",I33&gt;2),"F4 ","")))</f>
        <v/>
      </c>
      <c r="X33" s="46"/>
      <c r="Y33" s="47"/>
    </row>
    <row r="34" customFormat="false" ht="15" hidden="false" customHeight="false" outlineLevel="0" collapsed="false">
      <c r="A34" s="45" t="n">
        <v>28</v>
      </c>
      <c r="B34" s="46"/>
      <c r="C34" s="46"/>
      <c r="D34" s="47"/>
      <c r="E34" s="47"/>
      <c r="F34" s="47"/>
      <c r="G34" s="47"/>
      <c r="H34" s="47"/>
      <c r="I34" s="47"/>
      <c r="J34" s="48" t="str">
        <f aca="false">IF(D34="","",ROUND(D34/5*$D$5,1))</f>
        <v/>
      </c>
      <c r="K34" s="48" t="str">
        <f aca="false">IF(E34="","",ROUND(E34/5*$E$5,1))</f>
        <v/>
      </c>
      <c r="L34" s="48" t="str">
        <f aca="false">IF(F34="","",ROUND(F34/5*$F$5,1))</f>
        <v/>
      </c>
      <c r="M34" s="48" t="str">
        <f aca="false">IF(G34="","",ROUND(G34/5*$G$5,1))</f>
        <v/>
      </c>
      <c r="N34" s="48" t="str">
        <f aca="false">IF(H34="","",ROUND(H34/5*$H$5,1))</f>
        <v/>
      </c>
      <c r="O34" s="48" t="str">
        <f aca="false">IF(I34="","",ROUND(I34/5*$I$5,1))</f>
        <v/>
      </c>
      <c r="P34" s="49" t="str">
        <f aca="false">IF(COUNT(D34:I34)&lt;6,"",ROUND(SUM(J34:O34),1))</f>
        <v/>
      </c>
      <c r="Q34" s="50" t="str">
        <f aca="false">IF(P34="","",IF(P34&gt;=80,"S",IF(P34&gt;=65,"A",IF(P34&gt;=50,"B","C"))))</f>
        <v/>
      </c>
      <c r="R34" s="45" t="str">
        <f aca="false">IF(P34="","",RANK(P34,$P$7:$P$36))</f>
        <v/>
      </c>
      <c r="S34" s="47"/>
      <c r="T34" s="47"/>
      <c r="U34" s="47"/>
      <c r="V34" s="47"/>
      <c r="W34" s="3" t="str">
        <f aca="false">IF(COUNT(D34:I34)=0,"",IF(IF(AND(S34&lt;&gt;"",E34&gt;3),1,0)+IF(AND(T34&lt;&gt;"",OR(E34&gt;2 ,F34&gt;2)),1,0)+IF(AND(U34&lt;&gt;"",D34&gt;2),1,0)+IF(AND(V34&lt;&gt;"",I34&gt;2),1,0)=0,"OK","上限超過: "&amp;IF(AND(S34&lt;&gt;"",E34&gt;3),"F1 ","")&amp;IF(AND(T34&lt;&gt;"",OR(E34&gt;2 ,F34&gt;2)),"F2 ","")&amp;IF(AND(U34&lt;&gt;"",D34&gt;2),"F3 ","")&amp;IF(AND(V34&lt;&gt;"",I34&gt;2),"F4 ","")))</f>
        <v/>
      </c>
      <c r="X34" s="46"/>
      <c r="Y34" s="47"/>
    </row>
    <row r="35" customFormat="false" ht="15" hidden="false" customHeight="false" outlineLevel="0" collapsed="false">
      <c r="A35" s="45" t="n">
        <v>29</v>
      </c>
      <c r="B35" s="46"/>
      <c r="C35" s="46"/>
      <c r="D35" s="47"/>
      <c r="E35" s="47"/>
      <c r="F35" s="47"/>
      <c r="G35" s="47"/>
      <c r="H35" s="47"/>
      <c r="I35" s="47"/>
      <c r="J35" s="48" t="str">
        <f aca="false">IF(D35="","",ROUND(D35/5*$D$5,1))</f>
        <v/>
      </c>
      <c r="K35" s="48" t="str">
        <f aca="false">IF(E35="","",ROUND(E35/5*$E$5,1))</f>
        <v/>
      </c>
      <c r="L35" s="48" t="str">
        <f aca="false">IF(F35="","",ROUND(F35/5*$F$5,1))</f>
        <v/>
      </c>
      <c r="M35" s="48" t="str">
        <f aca="false">IF(G35="","",ROUND(G35/5*$G$5,1))</f>
        <v/>
      </c>
      <c r="N35" s="48" t="str">
        <f aca="false">IF(H35="","",ROUND(H35/5*$H$5,1))</f>
        <v/>
      </c>
      <c r="O35" s="48" t="str">
        <f aca="false">IF(I35="","",ROUND(I35/5*$I$5,1))</f>
        <v/>
      </c>
      <c r="P35" s="49" t="str">
        <f aca="false">IF(COUNT(D35:I35)&lt;6,"",ROUND(SUM(J35:O35),1))</f>
        <v/>
      </c>
      <c r="Q35" s="50" t="str">
        <f aca="false">IF(P35="","",IF(P35&gt;=80,"S",IF(P35&gt;=65,"A",IF(P35&gt;=50,"B","C"))))</f>
        <v/>
      </c>
      <c r="R35" s="45" t="str">
        <f aca="false">IF(P35="","",RANK(P35,$P$7:$P$36))</f>
        <v/>
      </c>
      <c r="S35" s="47"/>
      <c r="T35" s="47"/>
      <c r="U35" s="47"/>
      <c r="V35" s="47"/>
      <c r="W35" s="3" t="str">
        <f aca="false">IF(COUNT(D35:I35)=0,"",IF(IF(AND(S35&lt;&gt;"",E35&gt;3),1,0)+IF(AND(T35&lt;&gt;"",OR(E35&gt;2 ,F35&gt;2)),1,0)+IF(AND(U35&lt;&gt;"",D35&gt;2),1,0)+IF(AND(V35&lt;&gt;"",I35&gt;2),1,0)=0,"OK","上限超過: "&amp;IF(AND(S35&lt;&gt;"",E35&gt;3),"F1 ","")&amp;IF(AND(T35&lt;&gt;"",OR(E35&gt;2 ,F35&gt;2)),"F2 ","")&amp;IF(AND(U35&lt;&gt;"",D35&gt;2),"F3 ","")&amp;IF(AND(V35&lt;&gt;"",I35&gt;2),"F4 ","")))</f>
        <v/>
      </c>
      <c r="X35" s="46"/>
      <c r="Y35" s="47"/>
    </row>
    <row r="36" customFormat="false" ht="15" hidden="false" customHeight="false" outlineLevel="0" collapsed="false">
      <c r="A36" s="45" t="n">
        <v>30</v>
      </c>
      <c r="B36" s="46"/>
      <c r="C36" s="46"/>
      <c r="D36" s="47"/>
      <c r="E36" s="47"/>
      <c r="F36" s="47"/>
      <c r="G36" s="47"/>
      <c r="H36" s="47"/>
      <c r="I36" s="47"/>
      <c r="J36" s="48" t="str">
        <f aca="false">IF(D36="","",ROUND(D36/5*$D$5,1))</f>
        <v/>
      </c>
      <c r="K36" s="48" t="str">
        <f aca="false">IF(E36="","",ROUND(E36/5*$E$5,1))</f>
        <v/>
      </c>
      <c r="L36" s="48" t="str">
        <f aca="false">IF(F36="","",ROUND(F36/5*$F$5,1))</f>
        <v/>
      </c>
      <c r="M36" s="48" t="str">
        <f aca="false">IF(G36="","",ROUND(G36/5*$G$5,1))</f>
        <v/>
      </c>
      <c r="N36" s="48" t="str">
        <f aca="false">IF(H36="","",ROUND(H36/5*$H$5,1))</f>
        <v/>
      </c>
      <c r="O36" s="48" t="str">
        <f aca="false">IF(I36="","",ROUND(I36/5*$I$5,1))</f>
        <v/>
      </c>
      <c r="P36" s="49" t="str">
        <f aca="false">IF(COUNT(D36:I36)&lt;6,"",ROUND(SUM(J36:O36),1))</f>
        <v/>
      </c>
      <c r="Q36" s="50" t="str">
        <f aca="false">IF(P36="","",IF(P36&gt;=80,"S",IF(P36&gt;=65,"A",IF(P36&gt;=50,"B","C"))))</f>
        <v/>
      </c>
      <c r="R36" s="45" t="str">
        <f aca="false">IF(P36="","",RANK(P36,$P$7:$P$36))</f>
        <v/>
      </c>
      <c r="S36" s="47"/>
      <c r="T36" s="47"/>
      <c r="U36" s="47"/>
      <c r="V36" s="47"/>
      <c r="W36" s="3" t="str">
        <f aca="false">IF(COUNT(D36:I36)=0,"",IF(IF(AND(S36&lt;&gt;"",E36&gt;3),1,0)+IF(AND(T36&lt;&gt;"",OR(E36&gt;2 ,F36&gt;2)),1,0)+IF(AND(U36&lt;&gt;"",D36&gt;2),1,0)+IF(AND(V36&lt;&gt;"",I36&gt;2),1,0)=0,"OK","上限超過: "&amp;IF(AND(S36&lt;&gt;"",E36&gt;3),"F1 ","")&amp;IF(AND(T36&lt;&gt;"",OR(E36&gt;2 ,F36&gt;2)),"F2 ","")&amp;IF(AND(U36&lt;&gt;"",D36&gt;2),"F3 ","")&amp;IF(AND(V36&lt;&gt;"",I36&gt;2),"F4 ","")))</f>
        <v/>
      </c>
      <c r="X36" s="46"/>
      <c r="Y36" s="47"/>
    </row>
    <row r="38" customFormat="false" ht="30" hidden="false" customHeight="true" outlineLevel="0" collapsed="false">
      <c r="A38" s="51" t="s">
        <v>174</v>
      </c>
      <c r="B38" s="51"/>
      <c r="C38" s="51"/>
      <c r="D38" s="51"/>
      <c r="E38" s="51"/>
      <c r="F38" s="51"/>
      <c r="G38" s="51"/>
      <c r="H38" s="51"/>
      <c r="I38" s="51"/>
    </row>
    <row r="40" customFormat="false" ht="15" hidden="false" customHeight="false" outlineLevel="0" collapsed="false">
      <c r="B40" s="52" t="s">
        <v>175</v>
      </c>
    </row>
    <row r="41" customFormat="false" ht="15" hidden="false" customHeight="false" outlineLevel="0" collapsed="false">
      <c r="B41" s="53" t="s">
        <v>176</v>
      </c>
      <c r="C41" s="54" t="n">
        <f aca="false">COUNT($P$7:$P$36)</f>
        <v>0</v>
      </c>
    </row>
    <row r="42" customFormat="false" ht="15" hidden="false" customHeight="false" outlineLevel="0" collapsed="false">
      <c r="B42" s="53" t="s">
        <v>177</v>
      </c>
      <c r="C42" s="54" t="str">
        <f aca="false">IFERROR(ROUND(AVERAGE($P$7:$P$36),1),"")</f>
        <v/>
      </c>
    </row>
    <row r="43" customFormat="false" ht="15" hidden="false" customHeight="false" outlineLevel="0" collapsed="false">
      <c r="B43" s="53" t="s">
        <v>178</v>
      </c>
      <c r="C43" s="54" t="n">
        <f aca="false">IFERROR(MAX($P$7:$P$36),"")</f>
        <v>0</v>
      </c>
    </row>
    <row r="44" customFormat="false" ht="15" hidden="false" customHeight="false" outlineLevel="0" collapsed="false">
      <c r="B44" s="55" t="s">
        <v>179</v>
      </c>
      <c r="C44" s="54" t="n">
        <f aca="false">COUNTIF($Q$7:$Q$36,"S")</f>
        <v>0</v>
      </c>
    </row>
    <row r="45" customFormat="false" ht="15" hidden="false" customHeight="false" outlineLevel="0" collapsed="false">
      <c r="B45" s="55" t="s">
        <v>180</v>
      </c>
      <c r="C45" s="54" t="n">
        <f aca="false">COUNTIF($Q$7:$Q$36,"A")</f>
        <v>0</v>
      </c>
    </row>
    <row r="46" customFormat="false" ht="15" hidden="false" customHeight="false" outlineLevel="0" collapsed="false">
      <c r="B46" s="55" t="s">
        <v>181</v>
      </c>
      <c r="C46" s="54" t="n">
        <f aca="false">COUNTIF($Q$7:$Q$36,"B")</f>
        <v>0</v>
      </c>
    </row>
    <row r="47" customFormat="false" ht="15" hidden="false" customHeight="false" outlineLevel="0" collapsed="false">
      <c r="B47" s="55" t="s">
        <v>182</v>
      </c>
      <c r="C47" s="54" t="n">
        <f aca="false">COUNTIF($Q$7:$Q$36,"C")</f>
        <v>0</v>
      </c>
    </row>
    <row r="48" customFormat="false" ht="15" hidden="false" customHeight="false" outlineLevel="0" collapsed="false">
      <c r="B48" s="53" t="s">
        <v>183</v>
      </c>
      <c r="C48" s="54" t="n">
        <f aca="false">COUNTIF($W$7:$W$36,"上限超過*")</f>
        <v>0</v>
      </c>
    </row>
  </sheetData>
  <mergeCells count="3">
    <mergeCell ref="A1:Y1"/>
    <mergeCell ref="A2:Y2"/>
    <mergeCell ref="A38:I38"/>
  </mergeCells>
  <dataValidations count="3">
    <dataValidation allowBlank="true" error="観点レベルは 1〜5 の整数で入力してください。" errorStyle="stop" errorTitle="入力値エラー" operator="between" showDropDown="false" showErrorMessage="false" showInputMessage="false" sqref="D7:I36" type="whole">
      <formula1>1</formula1>
      <formula2>5</formula2>
    </dataValidation>
    <dataValidation allowBlank="true" error="該当する場合のみ ○ を入力してください。" errorStyle="stop" errorTitle="入力値エラー" operator="between" showDropDown="false" showErrorMessage="false" showInputMessage="false" sqref="S7:V36" type="list">
      <formula1>"○"</formula1>
      <formula2>0</formula2>
    </dataValidation>
    <dataValidation allowBlank="true" errorStyle="stop" operator="between" showDropDown="false" showErrorMessage="false" showInputMessage="false" sqref="Y7:Y36" type="list">
      <formula1>"要,不要"</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4"/>
    <col collapsed="false" customWidth="true" hidden="false" outlineLevel="0" max="5" min="4" style="0" width="40"/>
    <col collapsed="false" customWidth="true" hidden="false" outlineLevel="0" max="6" min="6" style="0" width="2"/>
  </cols>
  <sheetData>
    <row r="1" customFormat="false" ht="30" hidden="false" customHeight="true" outlineLevel="0" collapsed="false">
      <c r="A1" s="23" t="s">
        <v>184</v>
      </c>
      <c r="B1" s="23"/>
      <c r="C1" s="23"/>
      <c r="D1" s="23"/>
      <c r="E1" s="23"/>
      <c r="F1" s="23"/>
    </row>
    <row r="3" customFormat="false" ht="16.4" hidden="false" customHeight="false" outlineLevel="0" collapsed="false">
      <c r="B3" s="56" t="s">
        <v>185</v>
      </c>
    </row>
    <row r="4" customFormat="false" ht="15" hidden="false" customHeight="false" outlineLevel="0" collapsed="false">
      <c r="A4" s="7"/>
      <c r="B4" s="8" t="s">
        <v>157</v>
      </c>
      <c r="C4" s="8" t="s">
        <v>186</v>
      </c>
      <c r="D4" s="8" t="s">
        <v>187</v>
      </c>
      <c r="E4" s="7"/>
    </row>
    <row r="5" customFormat="false" ht="24" hidden="false" customHeight="true" outlineLevel="0" collapsed="false">
      <c r="B5" s="57" t="s">
        <v>188</v>
      </c>
      <c r="C5" s="4" t="s">
        <v>189</v>
      </c>
      <c r="D5" s="3" t="s">
        <v>190</v>
      </c>
    </row>
    <row r="6" customFormat="false" ht="24" hidden="false" customHeight="true" outlineLevel="0" collapsed="false">
      <c r="B6" s="57" t="s">
        <v>191</v>
      </c>
      <c r="C6" s="4" t="s">
        <v>192</v>
      </c>
      <c r="D6" s="3" t="s">
        <v>193</v>
      </c>
    </row>
    <row r="7" customFormat="false" ht="24" hidden="false" customHeight="true" outlineLevel="0" collapsed="false">
      <c r="B7" s="57" t="s">
        <v>194</v>
      </c>
      <c r="C7" s="4" t="s">
        <v>195</v>
      </c>
      <c r="D7" s="3" t="s">
        <v>196</v>
      </c>
    </row>
    <row r="8" customFormat="false" ht="24" hidden="false" customHeight="true" outlineLevel="0" collapsed="false">
      <c r="B8" s="57" t="s">
        <v>197</v>
      </c>
      <c r="C8" s="4" t="s">
        <v>198</v>
      </c>
      <c r="D8" s="3" t="s">
        <v>199</v>
      </c>
    </row>
    <row r="10" customFormat="false" ht="16.4" hidden="false" customHeight="false" outlineLevel="0" collapsed="false">
      <c r="B10" s="56" t="s">
        <v>200</v>
      </c>
    </row>
    <row r="11" customFormat="false" ht="15" hidden="false" customHeight="false" outlineLevel="0" collapsed="false">
      <c r="A11" s="7"/>
      <c r="B11" s="7" t="s">
        <v>201</v>
      </c>
      <c r="C11" s="8" t="s">
        <v>202</v>
      </c>
      <c r="D11" s="8" t="s">
        <v>203</v>
      </c>
      <c r="E11" s="8" t="s">
        <v>204</v>
      </c>
    </row>
    <row r="12" customFormat="false" ht="61.5" hidden="false" customHeight="true" outlineLevel="0" collapsed="false">
      <c r="B12" s="9" t="s">
        <v>205</v>
      </c>
      <c r="C12" s="3" t="s">
        <v>206</v>
      </c>
      <c r="D12" s="4" t="s">
        <v>207</v>
      </c>
      <c r="E12" s="58" t="s">
        <v>208</v>
      </c>
    </row>
    <row r="13" customFormat="false" ht="61.5" hidden="false" customHeight="true" outlineLevel="0" collapsed="false">
      <c r="B13" s="9" t="s">
        <v>209</v>
      </c>
      <c r="C13" s="3" t="s">
        <v>210</v>
      </c>
      <c r="D13" s="4" t="s">
        <v>211</v>
      </c>
      <c r="E13" s="58" t="s">
        <v>212</v>
      </c>
    </row>
    <row r="14" customFormat="false" ht="61.5" hidden="false" customHeight="true" outlineLevel="0" collapsed="false">
      <c r="B14" s="9" t="s">
        <v>213</v>
      </c>
      <c r="C14" s="3" t="s">
        <v>214</v>
      </c>
      <c r="D14" s="4" t="s">
        <v>215</v>
      </c>
      <c r="E14" s="58" t="s">
        <v>216</v>
      </c>
    </row>
    <row r="15" customFormat="false" ht="61.5" hidden="false" customHeight="true" outlineLevel="0" collapsed="false">
      <c r="B15" s="9" t="s">
        <v>217</v>
      </c>
      <c r="C15" s="3" t="s">
        <v>218</v>
      </c>
      <c r="D15" s="4" t="s">
        <v>219</v>
      </c>
      <c r="E15" s="58" t="s">
        <v>220</v>
      </c>
    </row>
    <row r="16" customFormat="false" ht="15" hidden="false" customHeight="true" outlineLevel="0" collapsed="false">
      <c r="B16" s="51" t="s">
        <v>221</v>
      </c>
      <c r="C16" s="51"/>
      <c r="D16" s="51"/>
      <c r="E16" s="51"/>
    </row>
    <row r="19" customFormat="false" ht="16.4" hidden="false" customHeight="false" outlineLevel="0" collapsed="false">
      <c r="B19" s="56" t="s">
        <v>222</v>
      </c>
    </row>
    <row r="20" customFormat="false" ht="15" hidden="false" customHeight="false" outlineLevel="0" collapsed="false">
      <c r="B20" s="53" t="s">
        <v>223</v>
      </c>
      <c r="C20" s="59" t="s">
        <v>224</v>
      </c>
      <c r="D20" s="59"/>
      <c r="E20" s="59"/>
    </row>
    <row r="21" customFormat="false" ht="15" hidden="false" customHeight="false" outlineLevel="0" collapsed="false">
      <c r="B21" s="53" t="s">
        <v>225</v>
      </c>
      <c r="C21" s="59" t="s">
        <v>226</v>
      </c>
      <c r="D21" s="59"/>
      <c r="E21" s="59"/>
    </row>
    <row r="22" customFormat="false" ht="15" hidden="false" customHeight="false" outlineLevel="0" collapsed="false">
      <c r="B22" s="53" t="s">
        <v>227</v>
      </c>
      <c r="C22" s="59" t="s">
        <v>228</v>
      </c>
      <c r="D22" s="59"/>
      <c r="E22" s="59"/>
    </row>
    <row r="23" customFormat="false" ht="15" hidden="false" customHeight="false" outlineLevel="0" collapsed="false">
      <c r="B23" s="53" t="s">
        <v>229</v>
      </c>
      <c r="C23" s="59" t="s">
        <v>230</v>
      </c>
      <c r="D23" s="59"/>
      <c r="E23" s="59"/>
    </row>
    <row r="25" customFormat="false" ht="25.35" hidden="false" customHeight="true" outlineLevel="0" collapsed="false">
      <c r="B25" s="60" t="s">
        <v>231</v>
      </c>
      <c r="C25" s="60"/>
      <c r="D25" s="60"/>
      <c r="E25" s="60"/>
    </row>
  </sheetData>
  <mergeCells count="7">
    <mergeCell ref="A1:F1"/>
    <mergeCell ref="B16:E16"/>
    <mergeCell ref="C20:E20"/>
    <mergeCell ref="C21:E21"/>
    <mergeCell ref="C22:E22"/>
    <mergeCell ref="C23:E23"/>
    <mergeCell ref="B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30"/>
    <col collapsed="false" customWidth="true" hidden="false" outlineLevel="0" max="3" min="3" style="0" width="3"/>
  </cols>
  <sheetData>
    <row r="1" customFormat="false" ht="30" hidden="false" customHeight="true" outlineLevel="0" collapsed="false">
      <c r="A1" s="1" t="s">
        <v>232</v>
      </c>
      <c r="B1" s="1"/>
      <c r="C1" s="1"/>
    </row>
    <row r="3" customFormat="false" ht="15" hidden="false" customHeight="false" outlineLevel="0" collapsed="false">
      <c r="B3" s="61" t="s">
        <v>233</v>
      </c>
    </row>
    <row r="4" customFormat="false" ht="15" hidden="false" customHeight="false" outlineLevel="0" collapsed="false">
      <c r="B4" s="62" t="s">
        <v>234</v>
      </c>
    </row>
    <row r="5" customFormat="false" ht="15" hidden="false" customHeight="false" outlineLevel="0" collapsed="false">
      <c r="B5" s="62"/>
    </row>
    <row r="6" customFormat="false" ht="15" hidden="false" customHeight="false" outlineLevel="0" collapsed="false">
      <c r="B6" s="62" t="s">
        <v>235</v>
      </c>
    </row>
    <row r="7" customFormat="false" ht="15" hidden="false" customHeight="false" outlineLevel="0" collapsed="false">
      <c r="B7" s="62" t="s">
        <v>236</v>
      </c>
    </row>
    <row r="8" customFormat="false" ht="15" hidden="false" customHeight="false" outlineLevel="0" collapsed="false">
      <c r="B8" s="62"/>
    </row>
    <row r="9" customFormat="false" ht="15" hidden="false" customHeight="false" outlineLevel="0" collapsed="false">
      <c r="B9" s="63" t="s">
        <v>237</v>
      </c>
    </row>
    <row r="10" customFormat="false" ht="15" hidden="false" customHeight="false" outlineLevel="0" collapsed="false">
      <c r="B10" s="62" t="s">
        <v>238</v>
      </c>
    </row>
    <row r="11" customFormat="false" ht="15" hidden="false" customHeight="false" outlineLevel="0" collapsed="false">
      <c r="B11" s="63" t="s">
        <v>237</v>
      </c>
    </row>
    <row r="12" customFormat="false" ht="15" hidden="false" customHeight="false" outlineLevel="0" collapsed="false">
      <c r="B12" s="63" t="s">
        <v>239</v>
      </c>
    </row>
    <row r="13" customFormat="false" ht="15" hidden="false" customHeight="false" outlineLevel="0" collapsed="false">
      <c r="B13" s="63" t="s">
        <v>240</v>
      </c>
    </row>
    <row r="14" customFormat="false" ht="15" hidden="false" customHeight="false" outlineLevel="0" collapsed="false">
      <c r="B14" s="63" t="s">
        <v>241</v>
      </c>
    </row>
    <row r="15" customFormat="false" ht="15" hidden="false" customHeight="false" outlineLevel="0" collapsed="false">
      <c r="B15" s="63" t="s">
        <v>242</v>
      </c>
    </row>
    <row r="16" customFormat="false" ht="15" hidden="false" customHeight="false" outlineLevel="0" collapsed="false">
      <c r="B16" s="63" t="s">
        <v>243</v>
      </c>
    </row>
    <row r="17" customFormat="false" ht="15" hidden="false" customHeight="false" outlineLevel="0" collapsed="false">
      <c r="B17" s="63" t="s">
        <v>244</v>
      </c>
    </row>
    <row r="18" customFormat="false" ht="15" hidden="false" customHeight="false" outlineLevel="0" collapsed="false">
      <c r="B18" s="62"/>
    </row>
    <row r="19" customFormat="false" ht="15" hidden="false" customHeight="false" outlineLevel="0" collapsed="false">
      <c r="B19" s="63" t="s">
        <v>237</v>
      </c>
    </row>
    <row r="20" customFormat="false" ht="15" hidden="false" customHeight="false" outlineLevel="0" collapsed="false">
      <c r="B20" s="62" t="s">
        <v>245</v>
      </c>
    </row>
    <row r="21" customFormat="false" ht="15" hidden="false" customHeight="false" outlineLevel="0" collapsed="false">
      <c r="B21" s="63" t="s">
        <v>237</v>
      </c>
    </row>
    <row r="22" customFormat="false" ht="15" hidden="false" customHeight="false" outlineLevel="0" collapsed="false">
      <c r="B22" s="62"/>
    </row>
    <row r="23" customFormat="false" ht="15" hidden="false" customHeight="false" outlineLevel="0" collapsed="false">
      <c r="B23" s="63" t="s">
        <v>246</v>
      </c>
    </row>
    <row r="24" customFormat="false" ht="15" hidden="false" customHeight="false" outlineLevel="0" collapsed="false">
      <c r="B24" s="62" t="s">
        <v>247</v>
      </c>
    </row>
    <row r="25" customFormat="false" ht="15" hidden="false" customHeight="false" outlineLevel="0" collapsed="false">
      <c r="B25" s="62" t="s">
        <v>248</v>
      </c>
    </row>
    <row r="26" customFormat="false" ht="15" hidden="false" customHeight="false" outlineLevel="0" collapsed="false">
      <c r="B26" s="63" t="s">
        <v>246</v>
      </c>
    </row>
    <row r="27" customFormat="false" ht="25.35" hidden="false" customHeight="false" outlineLevel="0" collapsed="false">
      <c r="B27" s="62" t="s">
        <v>249</v>
      </c>
    </row>
    <row r="28" customFormat="false" ht="15" hidden="false" customHeight="false" outlineLevel="0" collapsed="false">
      <c r="B28" s="62"/>
    </row>
    <row r="29" customFormat="false" ht="25.35" hidden="false" customHeight="false" outlineLevel="0" collapsed="false">
      <c r="B29" s="62" t="s">
        <v>250</v>
      </c>
    </row>
    <row r="30" customFormat="false" ht="15" hidden="false" customHeight="false" outlineLevel="0" collapsed="false">
      <c r="B30" s="62" t="s">
        <v>251</v>
      </c>
    </row>
    <row r="31" customFormat="false" ht="15" hidden="false" customHeight="false" outlineLevel="0" collapsed="false">
      <c r="B31" s="62" t="s">
        <v>252</v>
      </c>
    </row>
    <row r="32" customFormat="false" ht="15" hidden="false" customHeight="false" outlineLevel="0" collapsed="false">
      <c r="B32" s="62" t="s">
        <v>253</v>
      </c>
    </row>
    <row r="33" customFormat="false" ht="15" hidden="false" customHeight="false" outlineLevel="0" collapsed="false">
      <c r="B33" s="62" t="s">
        <v>254</v>
      </c>
    </row>
    <row r="34" customFormat="false" ht="15" hidden="false" customHeight="false" outlineLevel="0" collapsed="false">
      <c r="B34" s="62"/>
    </row>
    <row r="35" customFormat="false" ht="15" hidden="false" customHeight="false" outlineLevel="0" collapsed="false">
      <c r="B35" s="62" t="s">
        <v>255</v>
      </c>
    </row>
    <row r="36" customFormat="false" ht="15" hidden="false" customHeight="false" outlineLevel="0" collapsed="false">
      <c r="B36" s="62" t="s">
        <v>256</v>
      </c>
    </row>
    <row r="37" customFormat="false" ht="15" hidden="false" customHeight="false" outlineLevel="0" collapsed="false">
      <c r="B37" s="62" t="s">
        <v>257</v>
      </c>
    </row>
    <row r="38" customFormat="false" ht="15" hidden="false" customHeight="false" outlineLevel="0" collapsed="false">
      <c r="B38" s="62" t="s">
        <v>258</v>
      </c>
    </row>
    <row r="39" customFormat="false" ht="15" hidden="false" customHeight="false" outlineLevel="0" collapsed="false">
      <c r="B39" s="62" t="s">
        <v>259</v>
      </c>
    </row>
    <row r="40" customFormat="false" ht="15" hidden="false" customHeight="false" outlineLevel="0" collapsed="false">
      <c r="B40" s="62" t="s">
        <v>260</v>
      </c>
    </row>
    <row r="41" customFormat="false" ht="15" hidden="false" customHeight="false" outlineLevel="0" collapsed="false">
      <c r="B41" s="62" t="s">
        <v>261</v>
      </c>
    </row>
    <row r="42" customFormat="false" ht="15" hidden="false" customHeight="false" outlineLevel="0" collapsed="false">
      <c r="B42" s="62"/>
    </row>
    <row r="43" customFormat="false" ht="15" hidden="false" customHeight="false" outlineLevel="0" collapsed="false">
      <c r="B43" s="63" t="s">
        <v>246</v>
      </c>
    </row>
    <row r="44" customFormat="false" ht="15" hidden="false" customHeight="false" outlineLevel="0" collapsed="false">
      <c r="B44" s="62" t="s">
        <v>262</v>
      </c>
    </row>
    <row r="45" customFormat="false" ht="15" hidden="false" customHeight="false" outlineLevel="0" collapsed="false">
      <c r="B45" s="62" t="s">
        <v>263</v>
      </c>
    </row>
    <row r="46" customFormat="false" ht="15" hidden="false" customHeight="false" outlineLevel="0" collapsed="false">
      <c r="B46" s="63" t="s">
        <v>246</v>
      </c>
    </row>
    <row r="47" customFormat="false" ht="25.35" hidden="false" customHeight="false" outlineLevel="0" collapsed="false">
      <c r="B47" s="62" t="s">
        <v>264</v>
      </c>
    </row>
    <row r="48" customFormat="false" ht="15" hidden="false" customHeight="false" outlineLevel="0" collapsed="false">
      <c r="B48" s="62"/>
    </row>
    <row r="49" customFormat="false" ht="25.35" hidden="false" customHeight="false" outlineLevel="0" collapsed="false">
      <c r="B49" s="62" t="s">
        <v>265</v>
      </c>
    </row>
    <row r="50" customFormat="false" ht="15" hidden="false" customHeight="false" outlineLevel="0" collapsed="false">
      <c r="B50" s="62" t="s">
        <v>266</v>
      </c>
    </row>
    <row r="51" customFormat="false" ht="15" hidden="false" customHeight="false" outlineLevel="0" collapsed="false">
      <c r="B51" s="62" t="s">
        <v>267</v>
      </c>
    </row>
    <row r="52" customFormat="false" ht="15" hidden="false" customHeight="false" outlineLevel="0" collapsed="false">
      <c r="B52" s="62" t="s">
        <v>268</v>
      </c>
    </row>
    <row r="53" customFormat="false" ht="15" hidden="false" customHeight="false" outlineLevel="0" collapsed="false">
      <c r="B53" s="62" t="s">
        <v>269</v>
      </c>
    </row>
    <row r="54" customFormat="false" ht="15" hidden="false" customHeight="false" outlineLevel="0" collapsed="false">
      <c r="B54" s="62"/>
    </row>
    <row r="55" customFormat="false" ht="15" hidden="false" customHeight="false" outlineLevel="0" collapsed="false">
      <c r="B55" s="62" t="s">
        <v>255</v>
      </c>
    </row>
    <row r="56" customFormat="false" ht="15" hidden="false" customHeight="false" outlineLevel="0" collapsed="false">
      <c r="B56" s="62" t="s">
        <v>270</v>
      </c>
    </row>
    <row r="57" customFormat="false" ht="15" hidden="false" customHeight="false" outlineLevel="0" collapsed="false">
      <c r="B57" s="62" t="s">
        <v>271</v>
      </c>
    </row>
    <row r="58" customFormat="false" ht="15" hidden="false" customHeight="false" outlineLevel="0" collapsed="false">
      <c r="B58" s="62" t="s">
        <v>272</v>
      </c>
    </row>
    <row r="59" customFormat="false" ht="15" hidden="false" customHeight="false" outlineLevel="0" collapsed="false">
      <c r="B59" s="62" t="s">
        <v>273</v>
      </c>
    </row>
    <row r="60" customFormat="false" ht="15" hidden="false" customHeight="false" outlineLevel="0" collapsed="false">
      <c r="B60" s="62" t="s">
        <v>274</v>
      </c>
    </row>
    <row r="61" customFormat="false" ht="15" hidden="false" customHeight="false" outlineLevel="0" collapsed="false">
      <c r="B61" s="62"/>
    </row>
    <row r="62" customFormat="false" ht="15" hidden="false" customHeight="false" outlineLevel="0" collapsed="false">
      <c r="B62" s="63" t="s">
        <v>246</v>
      </c>
    </row>
    <row r="63" customFormat="false" ht="15" hidden="false" customHeight="false" outlineLevel="0" collapsed="false">
      <c r="B63" s="62" t="s">
        <v>275</v>
      </c>
    </row>
    <row r="64" customFormat="false" ht="15" hidden="false" customHeight="false" outlineLevel="0" collapsed="false">
      <c r="B64" s="62" t="s">
        <v>276</v>
      </c>
    </row>
    <row r="65" customFormat="false" ht="15" hidden="false" customHeight="false" outlineLevel="0" collapsed="false">
      <c r="B65" s="63" t="s">
        <v>246</v>
      </c>
    </row>
    <row r="66" customFormat="false" ht="25.35" hidden="false" customHeight="false" outlineLevel="0" collapsed="false">
      <c r="B66" s="62" t="s">
        <v>277</v>
      </c>
    </row>
    <row r="67" customFormat="false" ht="15" hidden="false" customHeight="false" outlineLevel="0" collapsed="false">
      <c r="B67" s="62"/>
    </row>
    <row r="68" customFormat="false" ht="25.35" hidden="false" customHeight="false" outlineLevel="0" collapsed="false">
      <c r="B68" s="62" t="s">
        <v>278</v>
      </c>
    </row>
    <row r="69" customFormat="false" ht="15" hidden="false" customHeight="false" outlineLevel="0" collapsed="false">
      <c r="B69" s="62" t="s">
        <v>279</v>
      </c>
    </row>
    <row r="70" customFormat="false" ht="15" hidden="false" customHeight="false" outlineLevel="0" collapsed="false">
      <c r="B70" s="62" t="s">
        <v>280</v>
      </c>
    </row>
    <row r="71" customFormat="false" ht="15" hidden="false" customHeight="false" outlineLevel="0" collapsed="false">
      <c r="B71" s="62" t="s">
        <v>281</v>
      </c>
    </row>
    <row r="72" customFormat="false" ht="15" hidden="false" customHeight="false" outlineLevel="0" collapsed="false">
      <c r="B72" s="62" t="s">
        <v>282</v>
      </c>
    </row>
    <row r="73" customFormat="false" ht="15" hidden="false" customHeight="false" outlineLevel="0" collapsed="false">
      <c r="B73" s="62"/>
    </row>
    <row r="74" customFormat="false" ht="15" hidden="false" customHeight="false" outlineLevel="0" collapsed="false">
      <c r="B74" s="62" t="s">
        <v>255</v>
      </c>
    </row>
    <row r="75" customFormat="false" ht="15" hidden="false" customHeight="false" outlineLevel="0" collapsed="false">
      <c r="B75" s="62" t="s">
        <v>283</v>
      </c>
    </row>
    <row r="76" customFormat="false" ht="15" hidden="false" customHeight="false" outlineLevel="0" collapsed="false">
      <c r="B76" s="62" t="s">
        <v>284</v>
      </c>
    </row>
    <row r="77" customFormat="false" ht="15" hidden="false" customHeight="false" outlineLevel="0" collapsed="false">
      <c r="B77" s="62" t="s">
        <v>285</v>
      </c>
    </row>
    <row r="78" customFormat="false" ht="15" hidden="false" customHeight="false" outlineLevel="0" collapsed="false">
      <c r="B78" s="62"/>
    </row>
    <row r="79" customFormat="false" ht="15" hidden="false" customHeight="false" outlineLevel="0" collapsed="false">
      <c r="B79" s="63" t="s">
        <v>246</v>
      </c>
    </row>
    <row r="80" customFormat="false" ht="15" hidden="false" customHeight="false" outlineLevel="0" collapsed="false">
      <c r="B80" s="62" t="s">
        <v>286</v>
      </c>
    </row>
    <row r="81" customFormat="false" ht="15" hidden="false" customHeight="false" outlineLevel="0" collapsed="false">
      <c r="B81" s="62" t="s">
        <v>287</v>
      </c>
    </row>
    <row r="82" customFormat="false" ht="15" hidden="false" customHeight="false" outlineLevel="0" collapsed="false">
      <c r="B82" s="63" t="s">
        <v>246</v>
      </c>
    </row>
    <row r="83" customFormat="false" ht="25.35" hidden="false" customHeight="false" outlineLevel="0" collapsed="false">
      <c r="B83" s="62" t="s">
        <v>288</v>
      </c>
    </row>
    <row r="84" customFormat="false" ht="15" hidden="false" customHeight="false" outlineLevel="0" collapsed="false">
      <c r="B84" s="62"/>
    </row>
    <row r="85" customFormat="false" ht="25.35" hidden="false" customHeight="false" outlineLevel="0" collapsed="false">
      <c r="B85" s="62" t="s">
        <v>289</v>
      </c>
    </row>
    <row r="86" customFormat="false" ht="15" hidden="false" customHeight="false" outlineLevel="0" collapsed="false">
      <c r="B86" s="62" t="s">
        <v>290</v>
      </c>
    </row>
    <row r="87" customFormat="false" ht="15" hidden="false" customHeight="false" outlineLevel="0" collapsed="false">
      <c r="B87" s="62" t="s">
        <v>291</v>
      </c>
    </row>
    <row r="88" customFormat="false" ht="15" hidden="false" customHeight="false" outlineLevel="0" collapsed="false">
      <c r="B88" s="62" t="s">
        <v>292</v>
      </c>
    </row>
    <row r="89" customFormat="false" ht="15" hidden="false" customHeight="false" outlineLevel="0" collapsed="false">
      <c r="B89" s="62" t="s">
        <v>293</v>
      </c>
    </row>
    <row r="90" customFormat="false" ht="15" hidden="false" customHeight="false" outlineLevel="0" collapsed="false">
      <c r="B90" s="62"/>
    </row>
    <row r="91" customFormat="false" ht="15" hidden="false" customHeight="false" outlineLevel="0" collapsed="false">
      <c r="B91" s="62" t="s">
        <v>255</v>
      </c>
    </row>
    <row r="92" customFormat="false" ht="15" hidden="false" customHeight="false" outlineLevel="0" collapsed="false">
      <c r="B92" s="62" t="s">
        <v>294</v>
      </c>
    </row>
    <row r="93" customFormat="false" ht="15" hidden="false" customHeight="false" outlineLevel="0" collapsed="false">
      <c r="B93" s="62" t="s">
        <v>295</v>
      </c>
    </row>
    <row r="94" customFormat="false" ht="15" hidden="false" customHeight="false" outlineLevel="0" collapsed="false">
      <c r="B94" s="62" t="s">
        <v>296</v>
      </c>
    </row>
    <row r="95" customFormat="false" ht="15" hidden="false" customHeight="false" outlineLevel="0" collapsed="false">
      <c r="B95" s="62" t="s">
        <v>297</v>
      </c>
    </row>
    <row r="96" customFormat="false" ht="15" hidden="false" customHeight="false" outlineLevel="0" collapsed="false">
      <c r="B96" s="62" t="s">
        <v>298</v>
      </c>
    </row>
    <row r="97" customFormat="false" ht="15" hidden="false" customHeight="false" outlineLevel="0" collapsed="false">
      <c r="B97" s="62" t="s">
        <v>299</v>
      </c>
    </row>
    <row r="98" customFormat="false" ht="15" hidden="false" customHeight="false" outlineLevel="0" collapsed="false">
      <c r="B98" s="62"/>
    </row>
    <row r="99" customFormat="false" ht="15" hidden="false" customHeight="false" outlineLevel="0" collapsed="false">
      <c r="B99" s="63" t="s">
        <v>246</v>
      </c>
    </row>
    <row r="100" customFormat="false" ht="15" hidden="false" customHeight="false" outlineLevel="0" collapsed="false">
      <c r="B100" s="62" t="s">
        <v>300</v>
      </c>
    </row>
    <row r="101" customFormat="false" ht="15" hidden="false" customHeight="false" outlineLevel="0" collapsed="false">
      <c r="B101" s="62" t="s">
        <v>301</v>
      </c>
    </row>
    <row r="102" customFormat="false" ht="15" hidden="false" customHeight="false" outlineLevel="0" collapsed="false">
      <c r="B102" s="63" t="s">
        <v>246</v>
      </c>
    </row>
    <row r="103" customFormat="false" ht="25.35" hidden="false" customHeight="false" outlineLevel="0" collapsed="false">
      <c r="B103" s="62" t="s">
        <v>302</v>
      </c>
    </row>
    <row r="104" customFormat="false" ht="15" hidden="false" customHeight="false" outlineLevel="0" collapsed="false">
      <c r="B104" s="62"/>
    </row>
    <row r="105" customFormat="false" ht="25.35" hidden="false" customHeight="false" outlineLevel="0" collapsed="false">
      <c r="B105" s="62" t="s">
        <v>303</v>
      </c>
    </row>
    <row r="106" customFormat="false" ht="15" hidden="false" customHeight="false" outlineLevel="0" collapsed="false">
      <c r="B106" s="62" t="s">
        <v>304</v>
      </c>
    </row>
    <row r="107" customFormat="false" ht="15" hidden="false" customHeight="false" outlineLevel="0" collapsed="false">
      <c r="B107" s="62" t="s">
        <v>305</v>
      </c>
    </row>
    <row r="108" customFormat="false" ht="15" hidden="false" customHeight="false" outlineLevel="0" collapsed="false">
      <c r="B108" s="62" t="s">
        <v>306</v>
      </c>
    </row>
    <row r="109" customFormat="false" ht="15" hidden="false" customHeight="false" outlineLevel="0" collapsed="false">
      <c r="B109" s="62" t="s">
        <v>307</v>
      </c>
    </row>
    <row r="110" customFormat="false" ht="15" hidden="false" customHeight="false" outlineLevel="0" collapsed="false">
      <c r="B110" s="62"/>
    </row>
    <row r="111" customFormat="false" ht="15" hidden="false" customHeight="false" outlineLevel="0" collapsed="false">
      <c r="B111" s="62" t="s">
        <v>255</v>
      </c>
    </row>
    <row r="112" customFormat="false" ht="15" hidden="false" customHeight="false" outlineLevel="0" collapsed="false">
      <c r="B112" s="62" t="s">
        <v>308</v>
      </c>
    </row>
    <row r="113" customFormat="false" ht="15" hidden="false" customHeight="false" outlineLevel="0" collapsed="false">
      <c r="B113" s="62" t="s">
        <v>309</v>
      </c>
    </row>
    <row r="114" customFormat="false" ht="15" hidden="false" customHeight="false" outlineLevel="0" collapsed="false">
      <c r="B114" s="62" t="s">
        <v>310</v>
      </c>
    </row>
    <row r="115" customFormat="false" ht="15" hidden="false" customHeight="false" outlineLevel="0" collapsed="false">
      <c r="B115" s="62"/>
    </row>
    <row r="116" customFormat="false" ht="15" hidden="false" customHeight="false" outlineLevel="0" collapsed="false">
      <c r="B116" s="63" t="s">
        <v>246</v>
      </c>
    </row>
    <row r="117" customFormat="false" ht="15" hidden="false" customHeight="false" outlineLevel="0" collapsed="false">
      <c r="B117" s="62" t="s">
        <v>311</v>
      </c>
    </row>
    <row r="118" customFormat="false" ht="15" hidden="false" customHeight="false" outlineLevel="0" collapsed="false">
      <c r="B118" s="62" t="s">
        <v>312</v>
      </c>
    </row>
    <row r="119" customFormat="false" ht="15" hidden="false" customHeight="false" outlineLevel="0" collapsed="false">
      <c r="B119" s="63" t="s">
        <v>246</v>
      </c>
    </row>
    <row r="120" customFormat="false" ht="25.35" hidden="false" customHeight="false" outlineLevel="0" collapsed="false">
      <c r="B120" s="62" t="s">
        <v>313</v>
      </c>
    </row>
    <row r="121" customFormat="false" ht="15" hidden="false" customHeight="false" outlineLevel="0" collapsed="false">
      <c r="B121" s="62"/>
    </row>
    <row r="122" customFormat="false" ht="15" hidden="false" customHeight="false" outlineLevel="0" collapsed="false">
      <c r="B122" s="62" t="s">
        <v>314</v>
      </c>
    </row>
    <row r="123" customFormat="false" ht="15" hidden="false" customHeight="false" outlineLevel="0" collapsed="false">
      <c r="B123" s="62" t="s">
        <v>315</v>
      </c>
    </row>
    <row r="124" customFormat="false" ht="15" hidden="false" customHeight="false" outlineLevel="0" collapsed="false">
      <c r="B124" s="62" t="s">
        <v>316</v>
      </c>
    </row>
    <row r="125" customFormat="false" ht="15" hidden="false" customHeight="false" outlineLevel="0" collapsed="false">
      <c r="B125" s="62" t="s">
        <v>317</v>
      </c>
    </row>
    <row r="126" customFormat="false" ht="15" hidden="false" customHeight="false" outlineLevel="0" collapsed="false">
      <c r="B126" s="62" t="s">
        <v>318</v>
      </c>
    </row>
    <row r="127" customFormat="false" ht="15" hidden="false" customHeight="false" outlineLevel="0" collapsed="false">
      <c r="B127" s="62"/>
    </row>
    <row r="128" customFormat="false" ht="15" hidden="false" customHeight="false" outlineLevel="0" collapsed="false">
      <c r="B128" s="62" t="s">
        <v>255</v>
      </c>
    </row>
    <row r="129" customFormat="false" ht="15" hidden="false" customHeight="false" outlineLevel="0" collapsed="false">
      <c r="B129" s="62" t="s">
        <v>319</v>
      </c>
    </row>
    <row r="130" customFormat="false" ht="15" hidden="false" customHeight="false" outlineLevel="0" collapsed="false">
      <c r="B130" s="62" t="s">
        <v>320</v>
      </c>
    </row>
    <row r="131" customFormat="false" ht="15" hidden="false" customHeight="false" outlineLevel="0" collapsed="false">
      <c r="B131" s="62" t="s">
        <v>321</v>
      </c>
    </row>
    <row r="132" customFormat="false" ht="15" hidden="false" customHeight="false" outlineLevel="0" collapsed="false">
      <c r="B132" s="62" t="s">
        <v>322</v>
      </c>
    </row>
    <row r="133" customFormat="false" ht="15" hidden="false" customHeight="false" outlineLevel="0" collapsed="false">
      <c r="B133" s="62" t="s">
        <v>323</v>
      </c>
    </row>
    <row r="134" customFormat="false" ht="15" hidden="false" customHeight="false" outlineLevel="0" collapsed="false">
      <c r="B134" s="62" t="s">
        <v>324</v>
      </c>
    </row>
    <row r="135" customFormat="false" ht="15" hidden="false" customHeight="false" outlineLevel="0" collapsed="false">
      <c r="B135" s="62" t="s">
        <v>325</v>
      </c>
    </row>
    <row r="136" customFormat="false" ht="15" hidden="false" customHeight="false" outlineLevel="0" collapsed="false">
      <c r="B136" s="62"/>
    </row>
    <row r="137" customFormat="false" ht="15" hidden="false" customHeight="false" outlineLevel="0" collapsed="false">
      <c r="B137" s="63" t="s">
        <v>237</v>
      </c>
    </row>
    <row r="138" customFormat="false" ht="15" hidden="false" customHeight="false" outlineLevel="0" collapsed="false">
      <c r="B138" s="62" t="s">
        <v>326</v>
      </c>
    </row>
    <row r="139" customFormat="false" ht="15" hidden="false" customHeight="false" outlineLevel="0" collapsed="false">
      <c r="B139" s="63" t="s">
        <v>237</v>
      </c>
    </row>
    <row r="140" customFormat="false" ht="15" hidden="false" customHeight="false" outlineLevel="0" collapsed="false">
      <c r="B140" s="62"/>
    </row>
    <row r="141" customFormat="false" ht="15" hidden="false" customHeight="false" outlineLevel="0" collapsed="false">
      <c r="B141" s="63" t="s">
        <v>327</v>
      </c>
    </row>
    <row r="142" customFormat="false" ht="15" hidden="false" customHeight="false" outlineLevel="0" collapsed="false">
      <c r="B142" s="62" t="s">
        <v>328</v>
      </c>
    </row>
    <row r="143" customFormat="false" ht="15" hidden="false" customHeight="false" outlineLevel="0" collapsed="false">
      <c r="B143" s="62" t="s">
        <v>329</v>
      </c>
    </row>
    <row r="144" customFormat="false" ht="15" hidden="false" customHeight="false" outlineLevel="0" collapsed="false">
      <c r="B144" s="62" t="s">
        <v>330</v>
      </c>
    </row>
    <row r="145" customFormat="false" ht="15" hidden="false" customHeight="false" outlineLevel="0" collapsed="false">
      <c r="B145" s="62"/>
    </row>
    <row r="146" customFormat="false" ht="15" hidden="false" customHeight="false" outlineLevel="0" collapsed="false">
      <c r="B146" s="63" t="s">
        <v>331</v>
      </c>
    </row>
    <row r="147" customFormat="false" ht="15" hidden="false" customHeight="false" outlineLevel="0" collapsed="false">
      <c r="B147" s="62" t="s">
        <v>332</v>
      </c>
    </row>
    <row r="148" customFormat="false" ht="15" hidden="false" customHeight="false" outlineLevel="0" collapsed="false">
      <c r="B148" s="62" t="s">
        <v>333</v>
      </c>
    </row>
    <row r="149" customFormat="false" ht="15" hidden="false" customHeight="false" outlineLevel="0" collapsed="false">
      <c r="B149" s="62" t="s">
        <v>334</v>
      </c>
    </row>
    <row r="150" customFormat="false" ht="15" hidden="false" customHeight="false" outlineLevel="0" collapsed="false">
      <c r="B150" s="62"/>
    </row>
    <row r="151" customFormat="false" ht="15" hidden="false" customHeight="false" outlineLevel="0" collapsed="false">
      <c r="B151" s="63" t="s">
        <v>335</v>
      </c>
    </row>
    <row r="152" customFormat="false" ht="15" hidden="false" customHeight="false" outlineLevel="0" collapsed="false">
      <c r="B152" s="62" t="s">
        <v>336</v>
      </c>
    </row>
    <row r="153" customFormat="false" ht="15" hidden="false" customHeight="false" outlineLevel="0" collapsed="false">
      <c r="B153" s="62" t="s">
        <v>337</v>
      </c>
    </row>
    <row r="154" customFormat="false" ht="15" hidden="false" customHeight="false" outlineLevel="0" collapsed="false">
      <c r="B154" s="62" t="s">
        <v>338</v>
      </c>
    </row>
    <row r="155" customFormat="false" ht="15" hidden="false" customHeight="false" outlineLevel="0" collapsed="false">
      <c r="B155" s="62"/>
    </row>
    <row r="156" customFormat="false" ht="15" hidden="false" customHeight="false" outlineLevel="0" collapsed="false">
      <c r="B156" s="63" t="s">
        <v>339</v>
      </c>
    </row>
    <row r="157" customFormat="false" ht="15" hidden="false" customHeight="false" outlineLevel="0" collapsed="false">
      <c r="B157" s="62" t="s">
        <v>340</v>
      </c>
    </row>
    <row r="158" customFormat="false" ht="15" hidden="false" customHeight="false" outlineLevel="0" collapsed="false">
      <c r="B158" s="62" t="s">
        <v>341</v>
      </c>
    </row>
    <row r="159" customFormat="false" ht="15" hidden="false" customHeight="false" outlineLevel="0" collapsed="false">
      <c r="B159" s="62" t="s">
        <v>342</v>
      </c>
    </row>
    <row r="160" customFormat="false" ht="15" hidden="false" customHeight="false" outlineLevel="0" collapsed="false">
      <c r="B160" s="62"/>
    </row>
    <row r="161" customFormat="false" ht="15" hidden="false" customHeight="false" outlineLevel="0" collapsed="false">
      <c r="B161" s="63" t="s">
        <v>237</v>
      </c>
    </row>
    <row r="162" customFormat="false" ht="15" hidden="false" customHeight="false" outlineLevel="0" collapsed="false">
      <c r="B162" s="62" t="s">
        <v>343</v>
      </c>
    </row>
    <row r="163" customFormat="false" ht="15" hidden="false" customHeight="false" outlineLevel="0" collapsed="false">
      <c r="B163" s="63" t="s">
        <v>237</v>
      </c>
    </row>
    <row r="164" customFormat="false" ht="15" hidden="false" customHeight="false" outlineLevel="0" collapsed="false">
      <c r="B164" s="63" t="s">
        <v>344</v>
      </c>
    </row>
    <row r="165" customFormat="false" ht="15" hidden="false" customHeight="false" outlineLevel="0" collapsed="false">
      <c r="B165" s="63" t="s">
        <v>345</v>
      </c>
    </row>
    <row r="166" customFormat="false" ht="15" hidden="false" customHeight="false" outlineLevel="0" collapsed="false">
      <c r="B166" s="63" t="s">
        <v>346</v>
      </c>
    </row>
    <row r="167" customFormat="false" ht="15" hidden="false" customHeight="false" outlineLevel="0" collapsed="false">
      <c r="B167" s="63" t="s">
        <v>347</v>
      </c>
    </row>
    <row r="168" customFormat="false" ht="15" hidden="false" customHeight="false" outlineLevel="0" collapsed="false">
      <c r="B168" s="62"/>
    </row>
    <row r="169" customFormat="false" ht="15" hidden="false" customHeight="false" outlineLevel="0" collapsed="false">
      <c r="B169" s="62" t="s">
        <v>348</v>
      </c>
    </row>
    <row r="170" customFormat="false" ht="15" hidden="false" customHeight="false" outlineLevel="0" collapsed="false">
      <c r="B170" s="62"/>
    </row>
    <row r="171" customFormat="false" ht="15" hidden="false" customHeight="false" outlineLevel="0" collapsed="false">
      <c r="B171" s="63" t="s">
        <v>237</v>
      </c>
    </row>
    <row r="172" customFormat="false" ht="15" hidden="false" customHeight="false" outlineLevel="0" collapsed="false">
      <c r="B172" s="62" t="s">
        <v>349</v>
      </c>
    </row>
    <row r="173" customFormat="false" ht="15" hidden="false" customHeight="false" outlineLevel="0" collapsed="false">
      <c r="B173" s="63" t="s">
        <v>237</v>
      </c>
    </row>
    <row r="174" customFormat="false" ht="15" hidden="false" customHeight="false" outlineLevel="0" collapsed="false">
      <c r="B174" s="63" t="s">
        <v>350</v>
      </c>
    </row>
    <row r="175" customFormat="false" ht="15" hidden="false" customHeight="false" outlineLevel="0" collapsed="false">
      <c r="B175" s="63" t="s">
        <v>351</v>
      </c>
    </row>
    <row r="176" customFormat="false" ht="15" hidden="false" customHeight="false" outlineLevel="0" collapsed="false">
      <c r="B176" s="63" t="s">
        <v>352</v>
      </c>
    </row>
    <row r="177" customFormat="false" ht="15" hidden="false" customHeight="false" outlineLevel="0" collapsed="false">
      <c r="B177" s="63" t="s">
        <v>353</v>
      </c>
    </row>
    <row r="178" customFormat="false" ht="15" hidden="false" customHeight="false" outlineLevel="0" collapsed="false">
      <c r="B178" s="63" t="s">
        <v>354</v>
      </c>
    </row>
    <row r="179" customFormat="false" ht="15" hidden="false" customHeight="false" outlineLevel="0" collapsed="false">
      <c r="B179" s="63" t="s">
        <v>355</v>
      </c>
    </row>
    <row r="180" customFormat="false" ht="15" hidden="false" customHeight="false" outlineLevel="0" collapsed="false">
      <c r="B180" s="63" t="s">
        <v>356</v>
      </c>
    </row>
    <row r="181" customFormat="false" ht="15" hidden="false" customHeight="false" outlineLevel="0" collapsed="false">
      <c r="B181" s="63" t="s">
        <v>357</v>
      </c>
    </row>
    <row r="182" customFormat="false" ht="15" hidden="false" customHeight="false" outlineLevel="0" collapsed="false">
      <c r="B182" s="63" t="s">
        <v>358</v>
      </c>
    </row>
    <row r="183" customFormat="false" ht="15" hidden="false" customHeight="false" outlineLevel="0" collapsed="false">
      <c r="B183" s="63" t="s">
        <v>359</v>
      </c>
    </row>
    <row r="184" customFormat="false" ht="15" hidden="false" customHeight="false" outlineLevel="0" collapsed="false">
      <c r="B184" s="63" t="s">
        <v>360</v>
      </c>
    </row>
    <row r="185" customFormat="false" ht="15" hidden="false" customHeight="false" outlineLevel="0" collapsed="false">
      <c r="B185" s="63" t="s">
        <v>361</v>
      </c>
    </row>
    <row r="186" customFormat="false" ht="15" hidden="false" customHeight="false" outlineLevel="0" collapsed="false">
      <c r="B186" s="63" t="s">
        <v>362</v>
      </c>
    </row>
    <row r="187" customFormat="false" ht="15" hidden="false" customHeight="false" outlineLevel="0" collapsed="false">
      <c r="B187" s="63" t="s">
        <v>354</v>
      </c>
    </row>
    <row r="188" customFormat="false" ht="15" hidden="false" customHeight="false" outlineLevel="0" collapsed="false">
      <c r="B188" s="63" t="s">
        <v>363</v>
      </c>
    </row>
    <row r="189" customFormat="false" ht="15" hidden="false" customHeight="false" outlineLevel="0" collapsed="false">
      <c r="B189" s="63" t="s">
        <v>364</v>
      </c>
    </row>
    <row r="190" customFormat="false" ht="15" hidden="false" customHeight="false" outlineLevel="0" collapsed="false">
      <c r="B190" s="63" t="s">
        <v>357</v>
      </c>
    </row>
    <row r="191" customFormat="false" ht="15" hidden="false" customHeight="false" outlineLevel="0" collapsed="false">
      <c r="B191" s="63" t="s">
        <v>365</v>
      </c>
    </row>
    <row r="192" customFormat="false" ht="15" hidden="false" customHeight="false" outlineLevel="0" collapsed="false">
      <c r="B192" s="63" t="s">
        <v>359</v>
      </c>
    </row>
    <row r="193" customFormat="false" ht="15" hidden="false" customHeight="false" outlineLevel="0" collapsed="false">
      <c r="B193" s="63" t="s">
        <v>360</v>
      </c>
    </row>
    <row r="194" customFormat="false" ht="15" hidden="false" customHeight="false" outlineLevel="0" collapsed="false">
      <c r="B194" s="63" t="s">
        <v>361</v>
      </c>
    </row>
    <row r="195" customFormat="false" ht="15" hidden="false" customHeight="false" outlineLevel="0" collapsed="false">
      <c r="B195" s="63" t="s">
        <v>362</v>
      </c>
    </row>
    <row r="196" customFormat="false" ht="15" hidden="false" customHeight="false" outlineLevel="0" collapsed="false">
      <c r="B196" s="63" t="s">
        <v>354</v>
      </c>
    </row>
    <row r="197" customFormat="false" ht="15" hidden="false" customHeight="false" outlineLevel="0" collapsed="false">
      <c r="B197" s="63" t="s">
        <v>366</v>
      </c>
    </row>
    <row r="198" customFormat="false" ht="15" hidden="false" customHeight="false" outlineLevel="0" collapsed="false">
      <c r="B198" s="63" t="s">
        <v>367</v>
      </c>
    </row>
    <row r="199" customFormat="false" ht="15" hidden="false" customHeight="false" outlineLevel="0" collapsed="false">
      <c r="B199" s="63" t="s">
        <v>357</v>
      </c>
    </row>
    <row r="200" customFormat="false" ht="15" hidden="false" customHeight="false" outlineLevel="0" collapsed="false">
      <c r="B200" s="63" t="s">
        <v>368</v>
      </c>
    </row>
    <row r="201" customFormat="false" ht="15" hidden="false" customHeight="false" outlineLevel="0" collapsed="false">
      <c r="B201" s="63" t="s">
        <v>359</v>
      </c>
    </row>
    <row r="202" customFormat="false" ht="15" hidden="false" customHeight="false" outlineLevel="0" collapsed="false">
      <c r="B202" s="63" t="s">
        <v>360</v>
      </c>
    </row>
    <row r="203" customFormat="false" ht="15" hidden="false" customHeight="false" outlineLevel="0" collapsed="false">
      <c r="B203" s="63" t="s">
        <v>361</v>
      </c>
    </row>
    <row r="204" customFormat="false" ht="15" hidden="false" customHeight="false" outlineLevel="0" collapsed="false">
      <c r="B204" s="63" t="s">
        <v>362</v>
      </c>
    </row>
    <row r="205" customFormat="false" ht="15" hidden="false" customHeight="false" outlineLevel="0" collapsed="false">
      <c r="B205" s="63" t="s">
        <v>354</v>
      </c>
    </row>
    <row r="206" customFormat="false" ht="15" hidden="false" customHeight="false" outlineLevel="0" collapsed="false">
      <c r="B206" s="63" t="s">
        <v>369</v>
      </c>
    </row>
    <row r="207" customFormat="false" ht="15" hidden="false" customHeight="false" outlineLevel="0" collapsed="false">
      <c r="B207" s="63" t="s">
        <v>370</v>
      </c>
    </row>
    <row r="208" customFormat="false" ht="15" hidden="false" customHeight="false" outlineLevel="0" collapsed="false">
      <c r="B208" s="63" t="s">
        <v>357</v>
      </c>
    </row>
    <row r="209" customFormat="false" ht="15" hidden="false" customHeight="false" outlineLevel="0" collapsed="false">
      <c r="B209" s="63" t="s">
        <v>371</v>
      </c>
    </row>
    <row r="210" customFormat="false" ht="15" hidden="false" customHeight="false" outlineLevel="0" collapsed="false">
      <c r="B210" s="63" t="s">
        <v>359</v>
      </c>
    </row>
    <row r="211" customFormat="false" ht="15" hidden="false" customHeight="false" outlineLevel="0" collapsed="false">
      <c r="B211" s="63" t="s">
        <v>360</v>
      </c>
    </row>
    <row r="212" customFormat="false" ht="15" hidden="false" customHeight="false" outlineLevel="0" collapsed="false">
      <c r="B212" s="63" t="s">
        <v>361</v>
      </c>
    </row>
    <row r="213" customFormat="false" ht="15" hidden="false" customHeight="false" outlineLevel="0" collapsed="false">
      <c r="B213" s="63" t="s">
        <v>362</v>
      </c>
    </row>
    <row r="214" customFormat="false" ht="15" hidden="false" customHeight="false" outlineLevel="0" collapsed="false">
      <c r="B214" s="63" t="s">
        <v>354</v>
      </c>
    </row>
    <row r="215" customFormat="false" ht="15" hidden="false" customHeight="false" outlineLevel="0" collapsed="false">
      <c r="B215" s="63" t="s">
        <v>372</v>
      </c>
    </row>
    <row r="216" customFormat="false" ht="15" hidden="false" customHeight="false" outlineLevel="0" collapsed="false">
      <c r="B216" s="63" t="s">
        <v>373</v>
      </c>
    </row>
    <row r="217" customFormat="false" ht="15" hidden="false" customHeight="false" outlineLevel="0" collapsed="false">
      <c r="B217" s="63" t="s">
        <v>357</v>
      </c>
    </row>
    <row r="218" customFormat="false" ht="15" hidden="false" customHeight="false" outlineLevel="0" collapsed="false">
      <c r="B218" s="63" t="s">
        <v>374</v>
      </c>
    </row>
    <row r="219" customFormat="false" ht="15" hidden="false" customHeight="false" outlineLevel="0" collapsed="false">
      <c r="B219" s="63" t="s">
        <v>359</v>
      </c>
    </row>
    <row r="220" customFormat="false" ht="15" hidden="false" customHeight="false" outlineLevel="0" collapsed="false">
      <c r="B220" s="63" t="s">
        <v>360</v>
      </c>
    </row>
    <row r="221" customFormat="false" ht="15" hidden="false" customHeight="false" outlineLevel="0" collapsed="false">
      <c r="B221" s="63" t="s">
        <v>361</v>
      </c>
    </row>
    <row r="222" customFormat="false" ht="15" hidden="false" customHeight="false" outlineLevel="0" collapsed="false">
      <c r="B222" s="63" t="s">
        <v>362</v>
      </c>
    </row>
    <row r="223" customFormat="false" ht="15" hidden="false" customHeight="false" outlineLevel="0" collapsed="false">
      <c r="B223" s="63" t="s">
        <v>354</v>
      </c>
    </row>
    <row r="224" customFormat="false" ht="15" hidden="false" customHeight="false" outlineLevel="0" collapsed="false">
      <c r="B224" s="63" t="s">
        <v>375</v>
      </c>
    </row>
    <row r="225" customFormat="false" ht="15" hidden="false" customHeight="false" outlineLevel="0" collapsed="false">
      <c r="B225" s="63" t="s">
        <v>376</v>
      </c>
    </row>
    <row r="226" customFormat="false" ht="15" hidden="false" customHeight="false" outlineLevel="0" collapsed="false">
      <c r="B226" s="63" t="s">
        <v>357</v>
      </c>
    </row>
    <row r="227" customFormat="false" ht="15" hidden="false" customHeight="false" outlineLevel="0" collapsed="false">
      <c r="B227" s="63" t="s">
        <v>365</v>
      </c>
    </row>
    <row r="228" customFormat="false" ht="15" hidden="false" customHeight="false" outlineLevel="0" collapsed="false">
      <c r="B228" s="63" t="s">
        <v>359</v>
      </c>
    </row>
    <row r="229" customFormat="false" ht="15" hidden="false" customHeight="false" outlineLevel="0" collapsed="false">
      <c r="B229" s="63" t="s">
        <v>360</v>
      </c>
    </row>
    <row r="230" customFormat="false" ht="15" hidden="false" customHeight="false" outlineLevel="0" collapsed="false">
      <c r="B230" s="63" t="s">
        <v>361</v>
      </c>
    </row>
    <row r="231" customFormat="false" ht="15" hidden="false" customHeight="false" outlineLevel="0" collapsed="false">
      <c r="B231" s="63" t="s">
        <v>377</v>
      </c>
    </row>
    <row r="232" customFormat="false" ht="15" hidden="false" customHeight="false" outlineLevel="0" collapsed="false">
      <c r="B232" s="63" t="s">
        <v>378</v>
      </c>
    </row>
    <row r="233" customFormat="false" ht="15" hidden="false" customHeight="false" outlineLevel="0" collapsed="false">
      <c r="B233" s="63" t="s">
        <v>379</v>
      </c>
    </row>
    <row r="234" customFormat="false" ht="15" hidden="false" customHeight="false" outlineLevel="0" collapsed="false">
      <c r="B234" s="63" t="s">
        <v>354</v>
      </c>
    </row>
    <row r="235" customFormat="false" ht="15" hidden="false" customHeight="false" outlineLevel="0" collapsed="false">
      <c r="B235" s="63" t="s">
        <v>380</v>
      </c>
    </row>
    <row r="236" customFormat="false" ht="15" hidden="false" customHeight="false" outlineLevel="0" collapsed="false">
      <c r="B236" s="63" t="s">
        <v>381</v>
      </c>
    </row>
    <row r="237" customFormat="false" ht="15" hidden="false" customHeight="false" outlineLevel="0" collapsed="false">
      <c r="B237" s="63" t="s">
        <v>382</v>
      </c>
    </row>
    <row r="238" customFormat="false" ht="15" hidden="false" customHeight="false" outlineLevel="0" collapsed="false">
      <c r="B238" s="63" t="s">
        <v>362</v>
      </c>
    </row>
    <row r="239" customFormat="false" ht="15" hidden="false" customHeight="false" outlineLevel="0" collapsed="false">
      <c r="B239" s="63" t="s">
        <v>354</v>
      </c>
    </row>
    <row r="240" customFormat="false" ht="15" hidden="false" customHeight="false" outlineLevel="0" collapsed="false">
      <c r="B240" s="63" t="s">
        <v>383</v>
      </c>
    </row>
    <row r="241" customFormat="false" ht="15" hidden="false" customHeight="false" outlineLevel="0" collapsed="false">
      <c r="B241" s="63" t="s">
        <v>381</v>
      </c>
    </row>
    <row r="242" customFormat="false" ht="15" hidden="false" customHeight="false" outlineLevel="0" collapsed="false">
      <c r="B242" s="63" t="s">
        <v>382</v>
      </c>
    </row>
    <row r="243" customFormat="false" ht="15" hidden="false" customHeight="false" outlineLevel="0" collapsed="false">
      <c r="B243" s="63" t="s">
        <v>362</v>
      </c>
    </row>
    <row r="244" customFormat="false" ht="15" hidden="false" customHeight="false" outlineLevel="0" collapsed="false">
      <c r="B244" s="63" t="s">
        <v>354</v>
      </c>
    </row>
    <row r="245" customFormat="false" ht="15" hidden="false" customHeight="false" outlineLevel="0" collapsed="false">
      <c r="B245" s="63" t="s">
        <v>384</v>
      </c>
    </row>
    <row r="246" customFormat="false" ht="15" hidden="false" customHeight="false" outlineLevel="0" collapsed="false">
      <c r="B246" s="63" t="s">
        <v>381</v>
      </c>
    </row>
    <row r="247" customFormat="false" ht="15" hidden="false" customHeight="false" outlineLevel="0" collapsed="false">
      <c r="B247" s="63" t="s">
        <v>382</v>
      </c>
    </row>
    <row r="248" customFormat="false" ht="15" hidden="false" customHeight="false" outlineLevel="0" collapsed="false">
      <c r="B248" s="63" t="s">
        <v>362</v>
      </c>
    </row>
    <row r="249" customFormat="false" ht="15" hidden="false" customHeight="false" outlineLevel="0" collapsed="false">
      <c r="B249" s="63" t="s">
        <v>354</v>
      </c>
    </row>
    <row r="250" customFormat="false" ht="15" hidden="false" customHeight="false" outlineLevel="0" collapsed="false">
      <c r="B250" s="63" t="s">
        <v>385</v>
      </c>
    </row>
    <row r="251" customFormat="false" ht="15" hidden="false" customHeight="false" outlineLevel="0" collapsed="false">
      <c r="B251" s="63" t="s">
        <v>381</v>
      </c>
    </row>
    <row r="252" customFormat="false" ht="15" hidden="false" customHeight="false" outlineLevel="0" collapsed="false">
      <c r="B252" s="63" t="s">
        <v>382</v>
      </c>
    </row>
    <row r="253" customFormat="false" ht="15" hidden="false" customHeight="false" outlineLevel="0" collapsed="false">
      <c r="B253" s="63" t="s">
        <v>377</v>
      </c>
    </row>
    <row r="254" customFormat="false" ht="15" hidden="false" customHeight="false" outlineLevel="0" collapsed="false">
      <c r="B254" s="63" t="s">
        <v>378</v>
      </c>
    </row>
    <row r="255" customFormat="false" ht="15" hidden="false" customHeight="false" outlineLevel="0" collapsed="false">
      <c r="B255" s="63" t="s">
        <v>386</v>
      </c>
    </row>
    <row r="256" customFormat="false" ht="15" hidden="false" customHeight="false" outlineLevel="0" collapsed="false">
      <c r="B256" s="63" t="s">
        <v>387</v>
      </c>
    </row>
    <row r="257" customFormat="false" ht="15" hidden="false" customHeight="false" outlineLevel="0" collapsed="false">
      <c r="B257" s="63" t="s">
        <v>388</v>
      </c>
    </row>
    <row r="258" customFormat="false" ht="15" hidden="false" customHeight="false" outlineLevel="0" collapsed="false">
      <c r="B258" s="63" t="s">
        <v>389</v>
      </c>
    </row>
    <row r="259" customFormat="false" ht="15" hidden="false" customHeight="false" outlineLevel="0" collapsed="false">
      <c r="B259" s="63" t="s">
        <v>390</v>
      </c>
    </row>
    <row r="260" customFormat="false" ht="15" hidden="false" customHeight="false" outlineLevel="0" collapsed="false">
      <c r="B260" s="63" t="s">
        <v>391</v>
      </c>
    </row>
    <row r="261" customFormat="false" ht="15" hidden="false" customHeight="false" outlineLevel="0" collapsed="false">
      <c r="B261" s="63" t="s">
        <v>392</v>
      </c>
    </row>
    <row r="262" customFormat="false" ht="15" hidden="false" customHeight="false" outlineLevel="0" collapsed="false">
      <c r="B262" s="63" t="s">
        <v>393</v>
      </c>
    </row>
    <row r="263" customFormat="false" ht="15" hidden="false" customHeight="false" outlineLevel="0" collapsed="false">
      <c r="B263" s="63" t="s">
        <v>394</v>
      </c>
    </row>
    <row r="264" customFormat="false" ht="15" hidden="false" customHeight="false" outlineLevel="0" collapsed="false">
      <c r="B264" s="62"/>
    </row>
    <row r="265" customFormat="false" ht="15" hidden="false" customHeight="false" outlineLevel="0" collapsed="false">
      <c r="B265" s="63" t="s">
        <v>237</v>
      </c>
    </row>
    <row r="266" customFormat="false" ht="15" hidden="false" customHeight="false" outlineLevel="0" collapsed="false">
      <c r="B266" s="62" t="s">
        <v>395</v>
      </c>
    </row>
    <row r="267" customFormat="false" ht="15" hidden="false" customHeight="false" outlineLevel="0" collapsed="false">
      <c r="B267" s="63" t="s">
        <v>237</v>
      </c>
    </row>
    <row r="268" customFormat="false" ht="15" hidden="false" customHeight="false" outlineLevel="0" collapsed="false">
      <c r="B268" s="62" t="s">
        <v>396</v>
      </c>
    </row>
    <row r="269" customFormat="false" ht="15" hidden="false" customHeight="false" outlineLevel="0" collapsed="false">
      <c r="B269" s="62" t="s">
        <v>397</v>
      </c>
    </row>
    <row r="270" customFormat="false" ht="15" hidden="false" customHeight="false" outlineLevel="0" collapsed="false">
      <c r="B270" s="62" t="s">
        <v>398</v>
      </c>
    </row>
    <row r="271" customFormat="false" ht="15" hidden="false" customHeight="false" outlineLevel="0" collapsed="false">
      <c r="B271" s="62" t="s">
        <v>399</v>
      </c>
    </row>
    <row r="272" customFormat="false" ht="15" hidden="false" customHeight="false" outlineLevel="0" collapsed="false">
      <c r="B272" s="62" t="s">
        <v>400</v>
      </c>
    </row>
    <row r="273" customFormat="false" ht="15" hidden="false" customHeight="false" outlineLevel="0" collapsed="false">
      <c r="B273" s="62"/>
    </row>
    <row r="274" customFormat="false" ht="15" hidden="false" customHeight="false" outlineLevel="0" collapsed="false">
      <c r="B274" s="63" t="s">
        <v>237</v>
      </c>
    </row>
    <row r="275" customFormat="false" ht="15" hidden="false" customHeight="false" outlineLevel="0" collapsed="false">
      <c r="B275" s="62" t="s">
        <v>401</v>
      </c>
    </row>
    <row r="276" customFormat="false" ht="15" hidden="false" customHeight="false" outlineLevel="0" collapsed="false">
      <c r="B276" s="63" t="s">
        <v>237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6"/>
    <col collapsed="false" customWidth="true" hidden="false" outlineLevel="0" max="4" min="4" style="0" width="30"/>
    <col collapsed="false" customWidth="true" hidden="false" outlineLevel="0" max="6" min="5" style="0" width="62"/>
  </cols>
  <sheetData>
    <row r="1" customFormat="false" ht="30" hidden="false" customHeight="true" outlineLevel="0" collapsed="false">
      <c r="A1" s="23" t="s">
        <v>402</v>
      </c>
      <c r="B1" s="23"/>
      <c r="C1" s="23"/>
      <c r="D1" s="23"/>
      <c r="E1" s="23"/>
      <c r="F1" s="23"/>
    </row>
    <row r="2" customFormat="false" ht="25.5" hidden="false" customHeight="true" outlineLevel="0" collapsed="false">
      <c r="A2" s="12" t="s">
        <v>403</v>
      </c>
      <c r="B2" s="12"/>
      <c r="C2" s="12"/>
      <c r="D2" s="12"/>
      <c r="E2" s="12"/>
      <c r="F2" s="12"/>
    </row>
    <row r="3" customFormat="false" ht="33.75" hidden="false" customHeight="true" outlineLevel="0" collapsed="false">
      <c r="A3" s="7" t="s">
        <v>98</v>
      </c>
      <c r="B3" s="8" t="s">
        <v>99</v>
      </c>
      <c r="C3" s="8" t="s">
        <v>100</v>
      </c>
      <c r="D3" s="8" t="s">
        <v>404</v>
      </c>
      <c r="E3" s="8" t="s">
        <v>405</v>
      </c>
      <c r="F3" s="8" t="s">
        <v>406</v>
      </c>
    </row>
    <row r="4" customFormat="false" ht="90" hidden="false" customHeight="true" outlineLevel="0" collapsed="false">
      <c r="A4" s="3" t="n">
        <v>1</v>
      </c>
      <c r="B4" s="24" t="s">
        <v>107</v>
      </c>
      <c r="C4" s="3" t="s">
        <v>108</v>
      </c>
      <c r="D4" s="3" t="s">
        <v>407</v>
      </c>
      <c r="E4" s="64" t="s">
        <v>408</v>
      </c>
      <c r="F4" s="65" t="s">
        <v>409</v>
      </c>
    </row>
    <row r="5" customFormat="false" ht="90" hidden="false" customHeight="true" outlineLevel="0" collapsed="false">
      <c r="A5" s="3" t="n">
        <v>2</v>
      </c>
      <c r="B5" s="24" t="s">
        <v>110</v>
      </c>
      <c r="C5" s="3" t="s">
        <v>111</v>
      </c>
      <c r="D5" s="3" t="s">
        <v>410</v>
      </c>
      <c r="E5" s="64" t="s">
        <v>411</v>
      </c>
      <c r="F5" s="65" t="s">
        <v>412</v>
      </c>
    </row>
    <row r="6" customFormat="false" ht="90" hidden="false" customHeight="true" outlineLevel="0" collapsed="false">
      <c r="A6" s="3" t="n">
        <v>3</v>
      </c>
      <c r="B6" s="24" t="s">
        <v>113</v>
      </c>
      <c r="C6" s="3" t="s">
        <v>114</v>
      </c>
      <c r="D6" s="3" t="s">
        <v>413</v>
      </c>
      <c r="E6" s="64" t="s">
        <v>414</v>
      </c>
      <c r="F6" s="65" t="s">
        <v>415</v>
      </c>
    </row>
    <row r="7" customFormat="false" ht="90" hidden="false" customHeight="true" outlineLevel="0" collapsed="false">
      <c r="A7" s="3" t="n">
        <v>4</v>
      </c>
      <c r="B7" s="24" t="s">
        <v>115</v>
      </c>
      <c r="C7" s="3" t="s">
        <v>114</v>
      </c>
      <c r="D7" s="3" t="s">
        <v>413</v>
      </c>
      <c r="E7" s="66" t="s">
        <v>416</v>
      </c>
      <c r="F7" s="67" t="s">
        <v>417</v>
      </c>
    </row>
    <row r="8" customFormat="false" ht="90" hidden="false" customHeight="true" outlineLevel="0" collapsed="false">
      <c r="A8" s="3" t="n">
        <v>5</v>
      </c>
      <c r="B8" s="24" t="s">
        <v>116</v>
      </c>
      <c r="C8" s="3" t="s">
        <v>114</v>
      </c>
      <c r="D8" s="3" t="s">
        <v>418</v>
      </c>
      <c r="E8" s="66" t="s">
        <v>419</v>
      </c>
      <c r="F8" s="65" t="s">
        <v>420</v>
      </c>
    </row>
    <row r="9" customFormat="false" ht="90" hidden="false" customHeight="true" outlineLevel="0" collapsed="false">
      <c r="A9" s="3" t="n">
        <v>6</v>
      </c>
      <c r="B9" s="24" t="s">
        <v>117</v>
      </c>
      <c r="C9" s="3" t="s">
        <v>114</v>
      </c>
      <c r="D9" s="3" t="s">
        <v>410</v>
      </c>
      <c r="E9" s="66" t="s">
        <v>421</v>
      </c>
      <c r="F9" s="65" t="s">
        <v>422</v>
      </c>
    </row>
    <row r="10" customFormat="false" ht="90" hidden="false" customHeight="true" outlineLevel="0" collapsed="false">
      <c r="A10" s="3" t="n">
        <v>7</v>
      </c>
      <c r="B10" s="24" t="s">
        <v>118</v>
      </c>
      <c r="C10" s="3" t="s">
        <v>119</v>
      </c>
      <c r="D10" s="3" t="s">
        <v>418</v>
      </c>
      <c r="E10" s="64" t="s">
        <v>423</v>
      </c>
      <c r="F10" s="67" t="s">
        <v>424</v>
      </c>
    </row>
    <row r="11" customFormat="false" ht="90" hidden="false" customHeight="true" outlineLevel="0" collapsed="false">
      <c r="A11" s="3" t="n">
        <v>8</v>
      </c>
      <c r="B11" s="24" t="s">
        <v>120</v>
      </c>
      <c r="C11" s="3" t="s">
        <v>121</v>
      </c>
      <c r="D11" s="3" t="s">
        <v>425</v>
      </c>
      <c r="E11" s="64" t="s">
        <v>426</v>
      </c>
      <c r="F11" s="65" t="s">
        <v>427</v>
      </c>
    </row>
    <row r="12" customFormat="false" ht="90" hidden="false" customHeight="true" outlineLevel="0" collapsed="false">
      <c r="A12" s="3" t="n">
        <v>9</v>
      </c>
      <c r="B12" s="24" t="s">
        <v>122</v>
      </c>
      <c r="C12" s="3" t="s">
        <v>123</v>
      </c>
      <c r="D12" s="3" t="s">
        <v>428</v>
      </c>
      <c r="E12" s="64" t="s">
        <v>429</v>
      </c>
      <c r="F12" s="65" t="s">
        <v>430</v>
      </c>
    </row>
    <row r="13" customFormat="false" ht="90" hidden="false" customHeight="true" outlineLevel="0" collapsed="false">
      <c r="A13" s="3" t="n">
        <v>10</v>
      </c>
      <c r="B13" s="24" t="s">
        <v>124</v>
      </c>
      <c r="C13" s="4" t="s">
        <v>125</v>
      </c>
      <c r="D13" s="3" t="s">
        <v>431</v>
      </c>
      <c r="E13" s="66" t="s">
        <v>432</v>
      </c>
      <c r="F13" s="65" t="s">
        <v>433</v>
      </c>
    </row>
    <row r="14" customFormat="false" ht="90" hidden="false" customHeight="true" outlineLevel="0" collapsed="false">
      <c r="A14" s="3" t="n">
        <v>11</v>
      </c>
      <c r="B14" s="24" t="s">
        <v>126</v>
      </c>
      <c r="C14" s="3" t="s">
        <v>127</v>
      </c>
      <c r="D14" s="3" t="s">
        <v>434</v>
      </c>
      <c r="E14" s="66" t="s">
        <v>435</v>
      </c>
      <c r="F14" s="67" t="s">
        <v>436</v>
      </c>
    </row>
    <row r="15" customFormat="false" ht="90" hidden="false" customHeight="true" outlineLevel="0" collapsed="false">
      <c r="A15" s="3" t="n">
        <v>12</v>
      </c>
      <c r="B15" s="24" t="s">
        <v>128</v>
      </c>
      <c r="C15" s="3" t="s">
        <v>129</v>
      </c>
      <c r="D15" s="3" t="s">
        <v>407</v>
      </c>
      <c r="E15" s="66" t="s">
        <v>437</v>
      </c>
      <c r="F15" s="65" t="s">
        <v>438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2026-08-06T07:57:21Z</dcterms:created>
  <dc:creator>openpyxl</dc:creator>
  <dc:description/>
  <dc:language>en-US</dc:language>
  <cp:lastModifiedBy/>
  <dcterms:modified xsi:type="dcterms:W3CDTF">2026-08-06T07:57:21Z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