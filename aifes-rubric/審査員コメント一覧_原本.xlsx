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shiroma\Downloads\"/>
    </mc:Choice>
  </mc:AlternateContent>
  <xr:revisionPtr revIDLastSave="0" documentId="8_{851AF074-6C22-405B-9186-87FF3F571B3B}" xr6:coauthVersionLast="47" xr6:coauthVersionMax="47" xr10:uidLastSave="{00000000-0000-0000-0000-000000000000}"/>
  <bookViews>
    <workbookView xWindow="-38720" yWindow="-20220" windowWidth="38620" windowHeight="21100" xr2:uid="{00000000-000D-0000-FFFF-FFFF00000000}"/>
  </bookViews>
  <sheets>
    <sheet name="審査員コメント一覧" sheetId="1" r:id="rId1"/>
    <sheet name="要約" sheetId="2" r:id="rId2"/>
    <sheet name="出典メモ"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Copilot</author>
  </authors>
  <commentList>
    <comment ref="G4" authorId="0" shapeId="0" xr:uid="{00000000-0006-0000-0000-000001000000}">
      <text>
        <r>
          <rPr>
            <sz val="11"/>
            <color theme="1"/>
            <rFont val="ＭＳ Ｐゴシック"/>
            <family val="2"/>
            <scheme val="minor"/>
          </rPr>
          <t>出典列はOffice365検索結果のreference_idと該当行を記録しています。</t>
        </r>
      </text>
    </comment>
    <comment ref="G5" authorId="0" shapeId="0" xr:uid="{00000000-0006-0000-0000-000002000000}">
      <text>
        <r>
          <rPr>
            <sz val="11"/>
            <color theme="1"/>
            <rFont val="ＭＳ Ｐゴシック"/>
            <family val="2"/>
            <scheme val="minor"/>
          </rPr>
          <t>出典列はOffice365検索結果のreference_idと該当行を記録しています。</t>
        </r>
      </text>
    </comment>
    <comment ref="G6" authorId="0" shapeId="0" xr:uid="{00000000-0006-0000-0000-000003000000}">
      <text>
        <r>
          <rPr>
            <sz val="11"/>
            <color theme="1"/>
            <rFont val="ＭＳ Ｐゴシック"/>
            <family val="2"/>
            <scheme val="minor"/>
          </rPr>
          <t>出典列はOffice365検索結果のreference_idと該当行を記録しています。</t>
        </r>
      </text>
    </comment>
    <comment ref="G7" authorId="0" shapeId="0" xr:uid="{00000000-0006-0000-0000-000004000000}">
      <text>
        <r>
          <rPr>
            <sz val="11"/>
            <color theme="1"/>
            <rFont val="ＭＳ Ｐゴシック"/>
            <family val="2"/>
            <scheme val="minor"/>
          </rPr>
          <t>出典列はOffice365検索結果のreference_idと該当行を記録しています。</t>
        </r>
      </text>
    </comment>
    <comment ref="G8" authorId="0" shapeId="0" xr:uid="{00000000-0006-0000-0000-000005000000}">
      <text>
        <r>
          <rPr>
            <sz val="11"/>
            <color theme="1"/>
            <rFont val="ＭＳ Ｐゴシック"/>
            <family val="2"/>
            <scheme val="minor"/>
          </rPr>
          <t>出典列はOffice365検索結果のreference_idと該当行を記録しています。</t>
        </r>
      </text>
    </comment>
    <comment ref="G9" authorId="0" shapeId="0" xr:uid="{00000000-0006-0000-0000-000006000000}">
      <text>
        <r>
          <rPr>
            <sz val="11"/>
            <color theme="1"/>
            <rFont val="ＭＳ Ｐゴシック"/>
            <family val="2"/>
            <scheme val="minor"/>
          </rPr>
          <t>出典列はOffice365検索結果のreference_idと該当行を記録しています。</t>
        </r>
      </text>
    </comment>
    <comment ref="G10" authorId="0" shapeId="0" xr:uid="{00000000-0006-0000-0000-000007000000}">
      <text>
        <r>
          <rPr>
            <sz val="11"/>
            <color theme="1"/>
            <rFont val="ＭＳ Ｐゴシック"/>
            <family val="2"/>
            <scheme val="minor"/>
          </rPr>
          <t>出典列はOffice365検索結果のreference_idと該当行を記録しています。</t>
        </r>
      </text>
    </comment>
    <comment ref="G11" authorId="0" shapeId="0" xr:uid="{00000000-0006-0000-0000-000008000000}">
      <text>
        <r>
          <rPr>
            <sz val="11"/>
            <color theme="1"/>
            <rFont val="ＭＳ Ｐゴシック"/>
            <family val="2"/>
            <scheme val="minor"/>
          </rPr>
          <t>出典列はOffice365検索結果のreference_idと該当行を記録しています。</t>
        </r>
      </text>
    </comment>
    <comment ref="G12" authorId="0" shapeId="0" xr:uid="{00000000-0006-0000-0000-000009000000}">
      <text>
        <r>
          <rPr>
            <sz val="11"/>
            <color theme="1"/>
            <rFont val="ＭＳ Ｐゴシック"/>
            <family val="2"/>
            <scheme val="minor"/>
          </rPr>
          <t>出典列はOffice365検索結果のreference_idと該当行を記録しています。</t>
        </r>
      </text>
    </comment>
    <comment ref="G13" authorId="0" shapeId="0" xr:uid="{00000000-0006-0000-0000-00000A000000}">
      <text>
        <r>
          <rPr>
            <sz val="11"/>
            <color theme="1"/>
            <rFont val="ＭＳ Ｐゴシック"/>
            <family val="2"/>
            <scheme val="minor"/>
          </rPr>
          <t>出典列はOffice365検索結果のreference_idと該当行を記録しています。</t>
        </r>
      </text>
    </comment>
    <comment ref="G14" authorId="0" shapeId="0" xr:uid="{00000000-0006-0000-0000-00000B000000}">
      <text>
        <r>
          <rPr>
            <sz val="11"/>
            <color theme="1"/>
            <rFont val="ＭＳ Ｐゴシック"/>
            <family val="2"/>
            <scheme val="minor"/>
          </rPr>
          <t>出典列はOffice365検索結果のreference_idと該当行を記録しています。</t>
        </r>
      </text>
    </comment>
    <comment ref="G15" authorId="0" shapeId="0" xr:uid="{00000000-0006-0000-0000-00000C000000}">
      <text>
        <r>
          <rPr>
            <sz val="11"/>
            <color theme="1"/>
            <rFont val="ＭＳ Ｐゴシック"/>
            <family val="2"/>
            <scheme val="minor"/>
          </rPr>
          <t>出典列はOffice365検索結果のreference_idと該当行を記録しています。</t>
        </r>
      </text>
    </comment>
  </commentList>
</comments>
</file>

<file path=xl/sharedStrings.xml><?xml version="1.0" encoding="utf-8"?>
<sst xmlns="http://schemas.openxmlformats.org/spreadsheetml/2006/main" count="97" uniqueCount="90">
  <si>
    <t>AIFES 2026 審査員コメント一覧</t>
  </si>
  <si>
    <t>出典: aifes-judges_skills_提出物反映版.zip (office365_search ref: turn1search74) / 作成日: 2026-08-06</t>
  </si>
  <si>
    <t>No</t>
  </si>
  <si>
    <t>審査員</t>
  </si>
  <si>
    <t>役職</t>
  </si>
  <si>
    <t>担当ステージ</t>
  </si>
  <si>
    <t>審査コメント（本人の言葉）</t>
  </si>
  <si>
    <t>グランドフィナーレコメント</t>
  </si>
  <si>
    <t>出典</t>
  </si>
  <si>
    <t>上坂貴志</t>
  </si>
  <si>
    <t>取締役専務執行役員</t>
  </si>
  <si>
    <t>ソロアクト（9月） / グランドフィナーレ</t>
  </si>
  <si>
    <t>ROIや完成度よりも、その手前にある「ひらめき」こそ大切にしたい。聞き手が思わず引き込まれるような可能性、面白さ、ワクワク感、そして驚きを感じさせるアイデアを評価してください。粗削りであっても、その先につながる兆しや発展性が感じられるかどうかを優先してください。</t>
  </si>
  <si>
    <t>取り組みを自分の言葉で語れる人が前に立っているかを見てください。実際に手を動かしている人、特に若手や普段前に出る機会が少ないメンバーが主役を担っている状態を高く評価してください。</t>
  </si>
  <si>
    <t>turn1search74 lines 15-18</t>
  </si>
  <si>
    <t>中山高史</t>
  </si>
  <si>
    <t>執行役員 / AIexe 代表取締役社長</t>
  </si>
  <si>
    <t>ジャムセッション（9月） / グランドフィナーレ</t>
  </si>
  <si>
    <t>AIに任せきりにするのではなく、自分の意思でコントロールしながら使いこなし、前処理の部分で人の工夫や価値が表れているかを評価します。自分なりの工夫を言語化し、センスのいいプロンプトでAIをコントロールできていることが伝わってくるかが重要です。</t>
  </si>
  <si>
    <t>何をAIで実現したかよりも、部門の中にどのような文化を醸成できたかを最も重視します。「AIを使うのが当たり前だよね」と部員全員が自然に思える組織を築き上げられたかを見せてください。</t>
  </si>
  <si>
    <t>turn1search74 lines 351-354</t>
  </si>
  <si>
    <t>中村智之</t>
  </si>
  <si>
    <t>執行役員</t>
  </si>
  <si>
    <t>コラボアクト（7月・9月） / グランドフィナーレ</t>
  </si>
  <si>
    <t>AIを使ったこと自体ではなく、その結果として業務や事業がどれだけ変わったかというビジネスインパクト、誰でも実行できる再現性、そして社外・グローバルにも展開できる普遍性を評価したい。加えて、その人ならではの着眼点があればさらに評価します。</t>
  </si>
  <si>
    <t>業務の必要性を問い直す視点と、視座の高さを大切にしたい。自部門に閉じず、他部門・全社への貢献と、データ基盤など経営視点での課題提起ができているかを重視します。</t>
  </si>
  <si>
    <t>turn1search74 lines 688-691</t>
  </si>
  <si>
    <t>伊藤英啓</t>
  </si>
  <si>
    <t>ポイントでAIを組み込むことよりも、業務全体を最適化しようとしているほうを評価したい。AIありきで何かを変えるのではなく、業務の全体像を見たうえで必要な箇所に組み込んでいる、その思考の順序を大切にしたいです。</t>
  </si>
  <si>
    <t>AIで創出した時間を何に使ったのかを前面に出してほしいです。二段・三段先のゴールに向かって、いま手元のものを変えている構造で語れる部門長こそ、グランドフィナーレに相応しいリーダーだと考えています。</t>
  </si>
  <si>
    <t>turn1search74 lines 1025-1028</t>
  </si>
  <si>
    <t>伊藤裕一</t>
  </si>
  <si>
    <t>ソロアクト（7月・9月） / グランドフィナーレ</t>
  </si>
  <si>
    <t>面倒な仕事がなくなり、その創出された時間を考える仕事に振り向けられているかを評価してください。効率化した時間を浮かせて終わりにするのではなく、事業部で今何が起きているかを把握することや、人と話す時間を増やすことに使えているかを見たいと思います。</t>
  </si>
  <si>
    <t>優れたアイデアよりも部門全体の参加率と広がりを重視してください。特定の誰かに頼るのではなく、チーム全員を巻き込んで、部門としてAIが根づいている状態を語れる部門長を高く評価してください。</t>
  </si>
  <si>
    <t>turn1search74 lines 1361-1364</t>
  </si>
  <si>
    <t>前田憲仁</t>
  </si>
  <si>
    <t>自分で体験をやり切り、それを言語化して、周囲に伝播させているレベルにまで到達している取り組みを評価したい。ふざけて使ったものでも、遊びから生まれたものでも、プライベートで作ったものでも構わない。自分の楽しみ方を人に伝えられているかどうかが重要です。</t>
  </si>
  <si>
    <t>既存業務を見直し、やめる判断ができているかを重視したい。AIを付加的に活用するのではなく、業務プロセス自体を見直せているか。「これはもうやらなくていい」と言い切れたら、それは相当のリーダーシップです。</t>
  </si>
  <si>
    <t>turn1search74 lines 1698-1701</t>
  </si>
  <si>
    <t>勝田耕平</t>
  </si>
  <si>
    <t>取締役常務執行役員</t>
  </si>
  <si>
    <t>AIをうまく使って、本人が楽しみながら新しいことに踏み出している。そういうソロアクトを高く評価したいと考えています。上位ポジションの人材が自ら手を挙げて取り組むこと自体に、大きな価値があります。</t>
  </si>
  <si>
    <t>AIを使って部門間連携を自然に生み出せていたら理想的です。これまで人の感覚に依存していた部門間連携を、AIとデータで「当たり前」に成立させる取り組みを見せてほしいと考えています。</t>
  </si>
  <si>
    <t>turn1search74 lines 2034-2037</t>
  </si>
  <si>
    <t>安田博一</t>
  </si>
  <si>
    <t>常務執行役員</t>
  </si>
  <si>
    <t>コラボアクト / グランドフィナーレ</t>
  </si>
  <si>
    <t>AI活用を自部門に閉じるのではなく、0から100までの一連の流れを俯瞰し、全体としてどのように効率化・高度化できているかを評価してください。個別最適ではなく、全体最適の観点からアイデアを組み立て、実装につなげていくことが重要です。</t>
  </si>
  <si>
    <t>単なる部門最適ではなく、会社全体を「面」で引き上げる観点を持ち、その実現に向けた具体的な取り組みを示せているかが重要です。</t>
  </si>
  <si>
    <t>turn1search74 lines 2370-2373</t>
  </si>
  <si>
    <t>小杉智</t>
  </si>
  <si>
    <t>執行役員 / ネクストスケープ 代表取締役社長</t>
  </si>
  <si>
    <t>ジャムセッション（7月） / グランドフィナーレ</t>
  </si>
  <si>
    <t>AIにコードや設計を出してもらったときに、フルスタックの姿勢で全体を見渡せているか。AIエージェントを「もう一人の自分」として動かせているか。「使う側」に立てているかどうかを、開発工程の中で評価します。</t>
  </si>
  <si>
    <t>部門でつくったものが、きちんと「会社のプロセス資産」になっているかどうかを見たい。アウトプットして、それが再利用されるサイクルが組織として形成されているかが重要です。</t>
  </si>
  <si>
    <t>turn1search74 lines 2707-2710</t>
  </si>
  <si>
    <t>松尾邦孝</t>
  </si>
  <si>
    <t>AIトランスフォーメーション事業本部長</t>
  </si>
  <si>
    <t>ジャムセッション / グランドフィナーレ</t>
  </si>
  <si>
    <t>役割そのものをAIに任せる考え方が見えてくるかを評価します。AIを使うことで自分の工数自体が減っているか、業務の延長でAIを使うのではなく、AIがいる前提で業務そのものを組み立て直しているかを重視してください。</t>
  </si>
  <si>
    <t>個人の熱意に依存しているのか、組織として自律的に回っているのかが重要です。仕組み化のプロセスを明確に示し、部門全員が当たり前のようにAIを使っている状態を実現できているかを評価します。</t>
  </si>
  <si>
    <t>turn1search74 lines 3044-3047</t>
  </si>
  <si>
    <t>櫻田浩</t>
  </si>
  <si>
    <t>執行役員 / SureBizCloud 代表取締役社長</t>
  </si>
  <si>
    <t>コラボアクト（9月） / グランドフィナーレ</t>
  </si>
  <si>
    <t>生産性向上につながる活用はもちろん重要ですが、それは企業として取り組むべき前提です。それ以上に、これまで評価されにくかった立場や役割のメンバーが、AIを通じて新たな価値を発揮している点に大きな意義があると考えています。取り組みによってどのような変化や成長が生まれているのかを重視します。</t>
  </si>
  <si>
    <t>Sureが担当しているお客さまの中には、規模が比較的小さく、情報システム部門の体制やITリテラシーが十分でない企業も少なくありません。そうしたお客さまを一歩先のステージへと引き上げていく意識を持ち、伴走できるリーダーを評価したいと考えています。</t>
  </si>
  <si>
    <t>turn1search74 lines 3695-3703 / interview source turn1search77 lines 97-107</t>
  </si>
  <si>
    <t>牧田幸弘</t>
  </si>
  <si>
    <t>代表取締役社長</t>
  </si>
  <si>
    <t>成果の大小にかかわらず、自分自身の言葉で価値を語れるかどうかが、一つの重要なポイントになると考えています。「これは良かった」と感じたことを自ら共有したくなるような熱量を持った応募を評価してください。</t>
  </si>
  <si>
    <t>成果の大きさだけでなく、その効果の広がりと熱量。その両面を体現できている部門長を評価してください。</t>
  </si>
  <si>
    <t>turn1search74 lines 3721-3724</t>
  </si>
  <si>
    <t>要約</t>
  </si>
  <si>
    <t>審査員数</t>
  </si>
  <si>
    <t>主な構成</t>
  </si>
  <si>
    <t>審査員、役職、担当ステージ、審査コメント、グランドフィナーレコメント、出典</t>
  </si>
  <si>
    <t>利用上の注意</t>
  </si>
  <si>
    <t>コメントは審査員本人の言葉として記載されている判断軸から抽出しています。評価・スコアリングそのものは含めていません。</t>
  </si>
  <si>
    <t>項目</t>
  </si>
  <si>
    <t>内容</t>
  </si>
  <si>
    <t>主な出典</t>
  </si>
  <si>
    <t>aifes-judges_skills_提出物反映版.zip (office365_search ref: turn1search74)</t>
  </si>
  <si>
    <t>補助出典</t>
  </si>
  <si>
    <t>AIFES審査員インタビュー.docx (office365_search ref: turn1search77)</t>
  </si>
  <si>
    <t>抽出方針</t>
  </si>
  <si>
    <t>各審査員エージェント定義内の「あなたの判断軸（本人の言葉）」を元に、審査担当ステージ向けコメントとグランドフィナーレ向けコメントを列分けしました。</t>
  </si>
  <si>
    <t>注意</t>
  </si>
  <si>
    <t>原文の意味を変えない範囲で、長文箇所は読みやすく整えています。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</si>
</sst>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ＭＳ Ｐゴシック"/>
      <family val="2"/>
      <scheme val="minor"/>
    </font>
    <font>
      <b/>
      <sz val="16"/>
      <color rgb="FFFFFFFF"/>
      <name val="Calibri"/>
    </font>
    <font>
      <sz val="10"/>
      <color rgb="FF666666"/>
      <name val="Calibri"/>
    </font>
    <font>
      <b/>
      <sz val="11"/>
      <color rgb="FFFFFFFF"/>
      <name val="Calibri"/>
    </font>
    <font>
      <sz val="11"/>
      <color rgb="FF000000"/>
      <name val="Calibri"/>
    </font>
    <font>
      <sz val="11"/>
      <color rgb="FF008000"/>
      <name val="Calibri"/>
    </font>
    <font>
      <sz val="9"/>
      <color rgb="FF666666"/>
      <name val="Calibri"/>
    </font>
    <font>
      <b/>
      <sz val="11"/>
      <name val="Calibri"/>
    </font>
    <font>
      <sz val="6"/>
      <name val="ＭＳ Ｐゴシック"/>
      <family val="3"/>
      <charset val="128"/>
      <scheme val="minor"/>
    </font>
  </fonts>
  <fills count="5">
    <fill>
      <patternFill patternType="none"/>
    </fill>
    <fill>
      <patternFill patternType="gray125"/>
    </fill>
    <fill>
      <patternFill patternType="solid">
        <fgColor rgb="FF1B365D"/>
      </patternFill>
    </fill>
    <fill>
      <patternFill patternType="solid">
        <fgColor rgb="FFF2F4F7"/>
      </patternFill>
    </fill>
    <fill>
      <patternFill patternType="solid">
        <fgColor rgb="FF007680"/>
      </patternFill>
    </fill>
  </fills>
  <borders count="2">
    <border>
      <left/>
      <right/>
      <top/>
      <bottom/>
      <diagonal/>
    </border>
    <border>
      <left/>
      <right/>
      <top/>
      <bottom style="thin">
        <color rgb="FFD9E2EC"/>
      </bottom>
      <diagonal/>
    </border>
  </borders>
  <cellStyleXfs count="1">
    <xf numFmtId="0" fontId="0" fillId="0" borderId="0"/>
  </cellStyleXfs>
  <cellXfs count="12">
    <xf numFmtId="0" fontId="0" fillId="0" borderId="0" xfId="0"/>
    <xf numFmtId="0" fontId="3" fillId="4" borderId="0" xfId="0" applyFont="1" applyFill="1" applyAlignment="1">
      <alignment horizontal="center"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1" fillId="2" borderId="0" xfId="0" applyFont="1" applyFill="1"/>
    <xf numFmtId="0" fontId="7" fillId="0" borderId="1" xfId="0" applyFont="1" applyBorder="1" applyAlignment="1">
      <alignment vertical="top" wrapText="1"/>
    </xf>
    <xf numFmtId="0" fontId="0" fillId="0" borderId="1" xfId="0" applyBorder="1" applyAlignment="1">
      <alignment vertical="top" wrapText="1"/>
    </xf>
    <xf numFmtId="0" fontId="3" fillId="4" borderId="0" xfId="0" applyFont="1" applyFill="1"/>
    <xf numFmtId="0" fontId="2" fillId="3" borderId="0" xfId="0" applyFont="1" applyFill="1" applyAlignment="1">
      <alignment horizontal="left" vertical="center"/>
    </xf>
    <xf numFmtId="0" fontId="0" fillId="0" borderId="0" xfId="0"/>
    <xf numFmtId="0" fontId="1" fillId="2" borderId="0" xfId="0" applyFont="1" applyFill="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IFESJudgeComments" displayName="AIFESJudgeComments" ref="A3:G15">
  <autoFilter ref="A3:G15" xr:uid="{00000000-0009-0000-0100-000001000000}"/>
  <tableColumns count="7">
    <tableColumn id="1" xr3:uid="{00000000-0010-0000-0000-000001000000}" name="No"/>
    <tableColumn id="2" xr3:uid="{00000000-0010-0000-0000-000002000000}" name="審査員"/>
    <tableColumn id="3" xr3:uid="{00000000-0010-0000-0000-000003000000}" name="役職"/>
    <tableColumn id="4" xr3:uid="{00000000-0010-0000-0000-000004000000}" name="担当ステージ"/>
    <tableColumn id="5" xr3:uid="{00000000-0010-0000-0000-000005000000}" name="審査コメント（本人の言葉）"/>
    <tableColumn id="6" xr3:uid="{00000000-0010-0000-0000-000006000000}" name="グランドフィナーレコメント"/>
    <tableColumn id="7" xr3:uid="{00000000-0010-0000-0000-000007000000}" name="出典"/>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workbookViewId="0">
      <pane ySplit="3" topLeftCell="A4" activePane="bottomLeft" state="frozen"/>
      <selection pane="bottomLeft" activeCell="J6" sqref="J6"/>
    </sheetView>
  </sheetViews>
  <sheetFormatPr defaultRowHeight="13" x14ac:dyDescent="0.2"/>
  <cols>
    <col min="1" max="1" width="6" customWidth="1"/>
    <col min="2" max="2" width="16" customWidth="1"/>
    <col min="3" max="3" width="28" customWidth="1"/>
    <col min="4" max="4" width="32" customWidth="1"/>
    <col min="5" max="6" width="70" customWidth="1"/>
    <col min="7" max="7" width="28" customWidth="1"/>
  </cols>
  <sheetData>
    <row r="1" spans="1:7" ht="30" customHeight="1" x14ac:dyDescent="0.2">
      <c r="A1" s="11" t="s">
        <v>0</v>
      </c>
      <c r="B1" s="10"/>
      <c r="C1" s="10"/>
      <c r="D1" s="10"/>
      <c r="E1" s="10"/>
      <c r="F1" s="10"/>
      <c r="G1" s="10"/>
    </row>
    <row r="2" spans="1:7" x14ac:dyDescent="0.2">
      <c r="A2" s="9" t="s">
        <v>1</v>
      </c>
      <c r="B2" s="10"/>
      <c r="C2" s="10"/>
      <c r="D2" s="10"/>
      <c r="E2" s="10"/>
      <c r="F2" s="10"/>
      <c r="G2" s="10"/>
    </row>
    <row r="3" spans="1:7" ht="14.5" x14ac:dyDescent="0.2">
      <c r="A3" s="1" t="s">
        <v>2</v>
      </c>
      <c r="B3" s="1" t="s">
        <v>3</v>
      </c>
      <c r="C3" s="1" t="s">
        <v>4</v>
      </c>
      <c r="D3" s="1" t="s">
        <v>5</v>
      </c>
      <c r="E3" s="1" t="s">
        <v>6</v>
      </c>
      <c r="F3" s="1" t="s">
        <v>7</v>
      </c>
      <c r="G3" s="1" t="s">
        <v>8</v>
      </c>
    </row>
    <row r="4" spans="1:7" ht="105" customHeight="1" x14ac:dyDescent="0.2">
      <c r="A4" s="2">
        <v>1</v>
      </c>
      <c r="B4" s="2" t="s">
        <v>9</v>
      </c>
      <c r="C4" s="2" t="s">
        <v>10</v>
      </c>
      <c r="D4" s="2" t="s">
        <v>11</v>
      </c>
      <c r="E4" s="3" t="s">
        <v>12</v>
      </c>
      <c r="F4" s="3" t="s">
        <v>13</v>
      </c>
      <c r="G4" s="4" t="s">
        <v>14</v>
      </c>
    </row>
    <row r="5" spans="1:7" ht="105" customHeight="1" x14ac:dyDescent="0.2">
      <c r="A5" s="2">
        <v>2</v>
      </c>
      <c r="B5" s="2" t="s">
        <v>15</v>
      </c>
      <c r="C5" s="2" t="s">
        <v>16</v>
      </c>
      <c r="D5" s="2" t="s">
        <v>17</v>
      </c>
      <c r="E5" s="3" t="s">
        <v>18</v>
      </c>
      <c r="F5" s="3" t="s">
        <v>19</v>
      </c>
      <c r="G5" s="4" t="s">
        <v>20</v>
      </c>
    </row>
    <row r="6" spans="1:7" ht="105" customHeight="1" x14ac:dyDescent="0.2">
      <c r="A6" s="2">
        <v>3</v>
      </c>
      <c r="B6" s="2" t="s">
        <v>21</v>
      </c>
      <c r="C6" s="2" t="s">
        <v>22</v>
      </c>
      <c r="D6" s="2" t="s">
        <v>23</v>
      </c>
      <c r="E6" s="3" t="s">
        <v>24</v>
      </c>
      <c r="F6" s="3" t="s">
        <v>25</v>
      </c>
      <c r="G6" s="4" t="s">
        <v>26</v>
      </c>
    </row>
    <row r="7" spans="1:7" ht="105" customHeight="1" x14ac:dyDescent="0.2">
      <c r="A7" s="2">
        <v>4</v>
      </c>
      <c r="B7" s="2" t="s">
        <v>27</v>
      </c>
      <c r="C7" s="2" t="s">
        <v>22</v>
      </c>
      <c r="D7" s="2" t="s">
        <v>23</v>
      </c>
      <c r="E7" s="3" t="s">
        <v>28</v>
      </c>
      <c r="F7" s="3" t="s">
        <v>29</v>
      </c>
      <c r="G7" s="4" t="s">
        <v>30</v>
      </c>
    </row>
    <row r="8" spans="1:7" ht="105" customHeight="1" x14ac:dyDescent="0.2">
      <c r="A8" s="2">
        <v>5</v>
      </c>
      <c r="B8" s="2" t="s">
        <v>31</v>
      </c>
      <c r="C8" s="2" t="s">
        <v>22</v>
      </c>
      <c r="D8" s="2" t="s">
        <v>32</v>
      </c>
      <c r="E8" s="3" t="s">
        <v>33</v>
      </c>
      <c r="F8" s="3" t="s">
        <v>34</v>
      </c>
      <c r="G8" s="4" t="s">
        <v>35</v>
      </c>
    </row>
    <row r="9" spans="1:7" ht="105" customHeight="1" x14ac:dyDescent="0.2">
      <c r="A9" s="2">
        <v>6</v>
      </c>
      <c r="B9" s="2" t="s">
        <v>36</v>
      </c>
      <c r="C9" s="2" t="s">
        <v>22</v>
      </c>
      <c r="D9" s="2" t="s">
        <v>17</v>
      </c>
      <c r="E9" s="3" t="s">
        <v>37</v>
      </c>
      <c r="F9" s="3" t="s">
        <v>38</v>
      </c>
      <c r="G9" s="4" t="s">
        <v>39</v>
      </c>
    </row>
    <row r="10" spans="1:7" ht="105" customHeight="1" x14ac:dyDescent="0.2">
      <c r="A10" s="2">
        <v>7</v>
      </c>
      <c r="B10" s="2" t="s">
        <v>40</v>
      </c>
      <c r="C10" s="2" t="s">
        <v>41</v>
      </c>
      <c r="D10" s="2" t="s">
        <v>32</v>
      </c>
      <c r="E10" s="3" t="s">
        <v>42</v>
      </c>
      <c r="F10" s="3" t="s">
        <v>43</v>
      </c>
      <c r="G10" s="4" t="s">
        <v>44</v>
      </c>
    </row>
    <row r="11" spans="1:7" ht="105" customHeight="1" x14ac:dyDescent="0.2">
      <c r="A11" s="2">
        <v>8</v>
      </c>
      <c r="B11" s="2" t="s">
        <v>45</v>
      </c>
      <c r="C11" s="2" t="s">
        <v>46</v>
      </c>
      <c r="D11" s="2" t="s">
        <v>47</v>
      </c>
      <c r="E11" s="3" t="s">
        <v>48</v>
      </c>
      <c r="F11" s="3" t="s">
        <v>49</v>
      </c>
      <c r="G11" s="4" t="s">
        <v>50</v>
      </c>
    </row>
    <row r="12" spans="1:7" ht="105" customHeight="1" x14ac:dyDescent="0.2">
      <c r="A12" s="2">
        <v>9</v>
      </c>
      <c r="B12" s="2" t="s">
        <v>51</v>
      </c>
      <c r="C12" s="2" t="s">
        <v>52</v>
      </c>
      <c r="D12" s="2" t="s">
        <v>53</v>
      </c>
      <c r="E12" s="3" t="s">
        <v>54</v>
      </c>
      <c r="F12" s="3" t="s">
        <v>55</v>
      </c>
      <c r="G12" s="4" t="s">
        <v>56</v>
      </c>
    </row>
    <row r="13" spans="1:7" ht="105" customHeight="1" x14ac:dyDescent="0.2">
      <c r="A13" s="2">
        <v>10</v>
      </c>
      <c r="B13" s="2" t="s">
        <v>57</v>
      </c>
      <c r="C13" s="2" t="s">
        <v>58</v>
      </c>
      <c r="D13" s="2" t="s">
        <v>59</v>
      </c>
      <c r="E13" s="3" t="s">
        <v>60</v>
      </c>
      <c r="F13" s="3" t="s">
        <v>61</v>
      </c>
      <c r="G13" s="4" t="s">
        <v>62</v>
      </c>
    </row>
    <row r="14" spans="1:7" ht="105" customHeight="1" x14ac:dyDescent="0.2">
      <c r="A14" s="2">
        <v>11</v>
      </c>
      <c r="B14" s="2" t="s">
        <v>63</v>
      </c>
      <c r="C14" s="2" t="s">
        <v>64</v>
      </c>
      <c r="D14" s="2" t="s">
        <v>65</v>
      </c>
      <c r="E14" s="3" t="s">
        <v>66</v>
      </c>
      <c r="F14" s="3" t="s">
        <v>67</v>
      </c>
      <c r="G14" s="4" t="s">
        <v>68</v>
      </c>
    </row>
    <row r="15" spans="1:7" ht="105" customHeight="1" x14ac:dyDescent="0.2">
      <c r="A15" s="2">
        <v>12</v>
      </c>
      <c r="B15" s="2" t="s">
        <v>69</v>
      </c>
      <c r="C15" s="2" t="s">
        <v>70</v>
      </c>
      <c r="D15" s="2" t="s">
        <v>11</v>
      </c>
      <c r="E15" s="3" t="s">
        <v>71</v>
      </c>
      <c r="F15" s="3" t="s">
        <v>72</v>
      </c>
      <c r="G15" s="4" t="s">
        <v>73</v>
      </c>
    </row>
  </sheetData>
  <mergeCells count="2">
    <mergeCell ref="A2:G2"/>
    <mergeCell ref="A1:G1"/>
  </mergeCells>
  <phoneticPr fontId="8"/>
  <pageMargins left="0.75" right="0.75" top="1" bottom="1" header="0.5" footer="0.5"/>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3" x14ac:dyDescent="0.2"/>
  <cols>
    <col min="1" max="1" width="28" customWidth="1"/>
    <col min="2" max="2" width="110" customWidth="1"/>
  </cols>
  <sheetData>
    <row r="1" spans="1:2" ht="21" x14ac:dyDescent="0.5">
      <c r="A1" s="5" t="s">
        <v>74</v>
      </c>
    </row>
    <row r="2" spans="1:2" ht="14.5" x14ac:dyDescent="0.2">
      <c r="A2" s="6" t="s">
        <v>75</v>
      </c>
      <c r="B2" s="7">
        <f>COUNTA(審査員コメント一覧!B4:B15)</f>
        <v>12</v>
      </c>
    </row>
    <row r="3" spans="1:2" ht="14.5" x14ac:dyDescent="0.2">
      <c r="A3" s="6" t="s">
        <v>76</v>
      </c>
      <c r="B3" s="7" t="s">
        <v>77</v>
      </c>
    </row>
    <row r="4" spans="1:2" ht="14.5" x14ac:dyDescent="0.2">
      <c r="A4" s="6" t="s">
        <v>78</v>
      </c>
      <c r="B4" s="7" t="s">
        <v>79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defaultRowHeight="13" x14ac:dyDescent="0.2"/>
  <cols>
    <col min="1" max="1" width="22" customWidth="1"/>
    <col min="2" max="2" width="120" customWidth="1"/>
  </cols>
  <sheetData>
    <row r="1" spans="1:2" ht="14.5" x14ac:dyDescent="0.35">
      <c r="A1" s="8" t="s">
        <v>80</v>
      </c>
      <c r="B1" s="8" t="s">
        <v>81</v>
      </c>
    </row>
    <row r="2" spans="1:2" x14ac:dyDescent="0.2">
      <c r="A2" s="7" t="s">
        <v>82</v>
      </c>
      <c r="B2" s="7" t="s">
        <v>83</v>
      </c>
    </row>
    <row r="3" spans="1:2" x14ac:dyDescent="0.2">
      <c r="A3" s="7" t="s">
        <v>84</v>
      </c>
      <c r="B3" s="7" t="s">
        <v>85</v>
      </c>
    </row>
    <row r="4" spans="1:2" ht="26" x14ac:dyDescent="0.2">
      <c r="A4" s="7" t="s">
        <v>86</v>
      </c>
      <c r="B4" s="7" t="s">
        <v>87</v>
      </c>
    </row>
    <row r="5" spans="1:2" x14ac:dyDescent="0.2">
      <c r="A5" s="7" t="s">
        <v>88</v>
      </c>
      <c r="B5" s="7" t="s">
        <v>89</v>
      </c>
    </row>
  </sheetData>
  <phoneticPr fontId="8"/>
  <pageMargins left="0.75" right="0.75" top="1" bottom="1" header="0.5" footer="0.5"/>
</worksheet>
</file>

<file path=docMetadata/LabelInfo.xml><?xml version="1.0" encoding="utf-8"?>
<clbl:labelList xmlns:clbl="http://schemas.microsoft.com/office/2020/mipLabelMetadata">
  <clbl:label id="{cc7dee35-16af-4e40-a4d4-2619d7c0024f}" enabled="0" method="" siteId="{cc7dee35-16af-4e40-a4d4-2619d7c0024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審査員コメント一覧</vt:lpstr>
      <vt:lpstr>要約</vt:lpstr>
      <vt:lpstr>出典メモ</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Shiroma, Yasushi</dc:creator>
  <cp:keywords/>
  <dc:description/>
  <cp:lastModifiedBy>Shiroma, Yasushi</cp:lastModifiedBy>
  <cp:revision/>
  <dcterms:created xsi:type="dcterms:W3CDTF">2026-08-06T07:18:33Z</dcterms:created>
  <dcterms:modified xsi:type="dcterms:W3CDTF">2026-08-06T07:28:02Z</dcterms:modified>
  <cp:category/>
  <cp:contentStatus/>
</cp:coreProperties>
</file>